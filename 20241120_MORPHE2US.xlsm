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Z:\MasterArbeit\03_Optimization_Structure\"/>
    </mc:Choice>
  </mc:AlternateContent>
  <xr:revisionPtr revIDLastSave="0" documentId="13_ncr:1_{C5006511-57E2-442A-A9BA-AA732D5B70C5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Specifications" sheetId="1" r:id="rId1"/>
    <sheet name="Units" sheetId="6" r:id="rId2"/>
    <sheet name="Building types" sheetId="2" r:id="rId3"/>
    <sheet name="Vectors_datalist" sheetId="7" r:id="rId4"/>
    <sheet name="Districts" sheetId="4" r:id="rId5"/>
    <sheet name="Commodities" sheetId="5" r:id="rId6"/>
  </sheets>
  <definedNames>
    <definedName name="Buildings">'Building types'!$B$2:$M$2</definedName>
    <definedName name="Commodities_named">Commodities!$D$2:$O$2</definedName>
    <definedName name="Districts_named">Districts!$C$2:$BB$2</definedName>
    <definedName name="Units_named">Units!$D$2:$W$2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53" i="4" l="1"/>
  <c r="AC52" i="4"/>
  <c r="AC51" i="4"/>
  <c r="AC50" i="4"/>
  <c r="AC49" i="4"/>
  <c r="BA4" i="4" a="1"/>
  <c r="BA4" i="4" s="1"/>
  <c r="AC60" i="4" s="1"/>
  <c r="AY4" i="4" a="1"/>
  <c r="AY4" i="4" s="1"/>
  <c r="AC59" i="4" s="1"/>
  <c r="AW4" i="4" a="1"/>
  <c r="AW4" i="4" s="1"/>
  <c r="AC58" i="4" s="1"/>
  <c r="AU4" i="4" a="1"/>
  <c r="AU4" i="4" s="1"/>
  <c r="AC57" i="4" s="1"/>
  <c r="AS4" i="4" a="1"/>
  <c r="AS4" i="4" s="1"/>
  <c r="AC56" i="4" s="1"/>
  <c r="AQ4" i="4" a="1"/>
  <c r="AQ4" i="4" s="1"/>
  <c r="AC55" i="4" s="1"/>
  <c r="AO4" i="4" a="1"/>
  <c r="AO4" i="4" s="1"/>
  <c r="AC54" i="4" s="1"/>
  <c r="AM4" i="4" a="1"/>
  <c r="AM4" i="4" s="1"/>
  <c r="AK4" i="4" a="1"/>
  <c r="AK4" i="4" s="1"/>
  <c r="AI4" i="4" a="1"/>
  <c r="AI4" i="4" s="1"/>
  <c r="AG4" i="4" a="1"/>
  <c r="AG4" i="4" s="1"/>
  <c r="AE4" i="4" a="1"/>
  <c r="AE4" i="4" s="1"/>
  <c r="C53" i="4"/>
  <c r="C52" i="4"/>
  <c r="C51" i="4"/>
  <c r="C50" i="4"/>
  <c r="C49" i="4"/>
  <c r="I4" i="4" a="1"/>
  <c r="I4" i="4" s="1"/>
  <c r="K4" i="4" a="1"/>
  <c r="K4" i="4" s="1"/>
  <c r="M4" i="4" a="1"/>
  <c r="M4" i="4" s="1"/>
  <c r="O4" i="4" a="1"/>
  <c r="O4" i="4" s="1"/>
  <c r="C54" i="4" s="1"/>
  <c r="Q4" i="4" a="1"/>
  <c r="Q4" i="4" s="1"/>
  <c r="C55" i="4" s="1"/>
  <c r="S4" i="4" a="1"/>
  <c r="S4" i="4"/>
  <c r="C56" i="4" s="1"/>
  <c r="U4" i="4" a="1"/>
  <c r="U4" i="4" s="1"/>
  <c r="C57" i="4" s="1"/>
  <c r="W4" i="4" a="1"/>
  <c r="W4" i="4" s="1"/>
  <c r="C58" i="4" s="1"/>
  <c r="Y4" i="4" a="1"/>
  <c r="Y4" i="4" s="1"/>
  <c r="C59" i="4" s="1"/>
  <c r="AA4" i="4" a="1"/>
  <c r="AA4" i="4" s="1"/>
  <c r="C60" i="4" s="1"/>
  <c r="G4" i="4" a="1"/>
  <c r="G4" i="4" s="1"/>
  <c r="E4" i="4" a="1"/>
  <c r="E4" i="4" s="1"/>
  <c r="B49" i="4" a="1"/>
  <c r="B49" i="4" s="1"/>
  <c r="B50" i="4" a="1"/>
  <c r="B50" i="4" s="1"/>
  <c r="B51" i="4" a="1"/>
  <c r="B51" i="4" s="1"/>
  <c r="B52" i="4" a="1"/>
  <c r="B52" i="4" s="1"/>
  <c r="B53" i="4" a="1"/>
  <c r="B53" i="4" s="1"/>
  <c r="B54" i="4" a="1"/>
  <c r="B54" i="4" s="1"/>
  <c r="B55" i="4" a="1"/>
  <c r="B55" i="4" s="1"/>
  <c r="B56" i="4" a="1"/>
  <c r="B56" i="4" s="1"/>
  <c r="B57" i="4" a="1"/>
  <c r="B57" i="4" s="1"/>
  <c r="B58" i="4" a="1"/>
  <c r="B58" i="4" s="1"/>
  <c r="B59" i="4" a="1"/>
  <c r="B59" i="4" s="1"/>
  <c r="B60" i="4" a="1"/>
  <c r="B60" i="4" s="1"/>
  <c r="B63" i="4" a="1"/>
  <c r="B63" i="4" s="1"/>
  <c r="B64" i="4" a="1"/>
  <c r="B64" i="4" s="1"/>
  <c r="B65" i="4" a="1"/>
  <c r="B65" i="4" s="1"/>
  <c r="B66" i="4" a="1"/>
  <c r="B66" i="4" s="1"/>
  <c r="B67" i="4" a="1"/>
  <c r="B67" i="4" s="1"/>
  <c r="B68" i="4" a="1"/>
  <c r="B68" i="4" s="1"/>
  <c r="B69" i="4" a="1"/>
  <c r="B69" i="4" s="1"/>
  <c r="B70" i="4" a="1"/>
  <c r="B70" i="4" s="1"/>
  <c r="B71" i="4" a="1"/>
  <c r="B71" i="4" s="1"/>
  <c r="B72" i="4" a="1"/>
  <c r="B72" i="4" s="1"/>
  <c r="B73" i="4" a="1"/>
  <c r="B73" i="4" s="1"/>
  <c r="B62" i="4" a="1"/>
  <c r="B62" i="4" s="1"/>
  <c r="D22" i="6"/>
  <c r="F22" i="6"/>
  <c r="G22" i="6"/>
  <c r="H22" i="6"/>
  <c r="I22" i="6"/>
  <c r="J22" i="6"/>
  <c r="K22" i="6"/>
  <c r="E22" i="6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11" i="7"/>
  <c r="B11" i="7"/>
  <c r="B12" i="7" s="1"/>
  <c r="F27" i="1"/>
  <c r="E29" i="1"/>
  <c r="B44" i="4" a="1"/>
  <c r="B39" i="4" a="1"/>
  <c r="B12" i="4" a="1"/>
  <c r="B20" i="4" a="1"/>
  <c r="B29" i="4" a="1"/>
  <c r="B32" i="4" a="1"/>
  <c r="B33" i="4" a="1"/>
  <c r="B24" i="4" a="1"/>
  <c r="B31" i="4" a="1"/>
  <c r="B21" i="4" a="1"/>
  <c r="B46" i="4" a="1"/>
  <c r="B41" i="4" a="1"/>
  <c r="B15" i="4" a="1"/>
  <c r="B17" i="4" a="1"/>
  <c r="B47" i="4" a="1"/>
  <c r="B23" i="4" a="1"/>
  <c r="B35" i="4" a="1"/>
  <c r="B38" i="4" a="1"/>
  <c r="B18" i="4" a="1"/>
  <c r="B26" i="4" a="1"/>
  <c r="B25" i="4" a="1"/>
  <c r="B43" i="4" a="1"/>
  <c r="B37" i="4" a="1"/>
  <c r="B22" i="4" a="1"/>
  <c r="B9" i="4" a="1"/>
  <c r="B7" i="4" a="1"/>
  <c r="B13" i="4" a="1"/>
  <c r="B28" i="4" a="1"/>
  <c r="B19" i="4" a="1"/>
  <c r="B40" i="4" a="1"/>
  <c r="B10" i="4" a="1"/>
  <c r="B30" i="4" a="1"/>
  <c r="B34" i="4" a="1"/>
  <c r="B45" i="4" a="1"/>
  <c r="B11" i="4" a="1"/>
  <c r="B16" i="4" a="1"/>
  <c r="B14" i="4" a="1"/>
  <c r="B8" i="4" a="1"/>
  <c r="B36" i="4" a="1"/>
  <c r="B42" i="4" a="1"/>
  <c r="B11" i="4" l="1"/>
  <c r="B47" i="4"/>
  <c r="B46" i="4"/>
  <c r="B45" i="4"/>
  <c r="B44" i="4"/>
  <c r="B43" i="4"/>
  <c r="B42" i="4"/>
  <c r="B41" i="4"/>
  <c r="B40" i="4"/>
  <c r="B39" i="4"/>
  <c r="B37" i="4"/>
  <c r="B38" i="4"/>
  <c r="B36" i="4"/>
  <c r="B35" i="4"/>
  <c r="B34" i="4"/>
  <c r="B33" i="4"/>
  <c r="B32" i="4"/>
  <c r="B31" i="4"/>
  <c r="B30" i="4"/>
  <c r="B29" i="4"/>
  <c r="B28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0" i="4"/>
  <c r="B8" i="4"/>
  <c r="B9" i="4"/>
  <c r="B7" i="4"/>
  <c r="B13" i="7"/>
  <c r="D12" i="7"/>
  <c r="D11" i="7"/>
  <c r="D13" i="7" l="1"/>
  <c r="B14" i="7"/>
  <c r="B15" i="7" l="1"/>
  <c r="D14" i="7"/>
  <c r="B16" i="7" l="1"/>
  <c r="D15" i="7"/>
  <c r="B17" i="7" l="1"/>
  <c r="D16" i="7"/>
  <c r="B18" i="7" l="1"/>
  <c r="D17" i="7"/>
  <c r="B19" i="7" l="1"/>
  <c r="D18" i="7"/>
  <c r="B20" i="7" l="1"/>
  <c r="D19" i="7"/>
  <c r="B21" i="7" l="1"/>
  <c r="D20" i="7"/>
  <c r="B22" i="7" l="1"/>
  <c r="D21" i="7"/>
  <c r="B23" i="7" l="1"/>
  <c r="D22" i="7"/>
  <c r="B24" i="7" l="1"/>
  <c r="D23" i="7"/>
  <c r="B25" i="7" l="1"/>
  <c r="D24" i="7"/>
  <c r="B26" i="7" l="1"/>
  <c r="D25" i="7"/>
  <c r="B27" i="7" l="1"/>
  <c r="D26" i="7"/>
  <c r="B28" i="7" l="1"/>
  <c r="D27" i="7"/>
  <c r="B29" i="7" l="1"/>
  <c r="D28" i="7"/>
  <c r="B30" i="7" l="1"/>
  <c r="D29" i="7"/>
  <c r="B31" i="7" l="1"/>
  <c r="D30" i="7"/>
  <c r="B32" i="7" l="1"/>
  <c r="D31" i="7"/>
  <c r="B33" i="7" l="1"/>
  <c r="D32" i="7"/>
  <c r="B34" i="7" l="1"/>
  <c r="D33" i="7"/>
  <c r="B35" i="7" l="1"/>
  <c r="D34" i="7"/>
  <c r="B36" i="7" l="1"/>
  <c r="D35" i="7"/>
  <c r="B37" i="7" l="1"/>
  <c r="D36" i="7"/>
  <c r="B38" i="7" l="1"/>
  <c r="D37" i="7"/>
  <c r="B39" i="7" l="1"/>
  <c r="D38" i="7"/>
  <c r="B40" i="7" l="1"/>
  <c r="D39" i="7"/>
  <c r="B41" i="7" l="1"/>
  <c r="D40" i="7"/>
  <c r="B42" i="7" l="1"/>
  <c r="D41" i="7"/>
  <c r="B43" i="7" l="1"/>
  <c r="D42" i="7"/>
  <c r="B44" i="7" l="1"/>
  <c r="D43" i="7"/>
  <c r="B45" i="7" l="1"/>
  <c r="D44" i="7"/>
  <c r="B46" i="7" l="1"/>
  <c r="D45" i="7"/>
  <c r="B47" i="7" l="1"/>
  <c r="D46" i="7"/>
  <c r="B48" i="7" l="1"/>
  <c r="D47" i="7"/>
  <c r="B49" i="7" l="1"/>
  <c r="D48" i="7"/>
  <c r="B50" i="7" l="1"/>
  <c r="D49" i="7"/>
  <c r="B51" i="7" l="1"/>
  <c r="D50" i="7"/>
  <c r="B52" i="7" l="1"/>
  <c r="D51" i="7"/>
  <c r="B53" i="7" l="1"/>
  <c r="D52" i="7"/>
  <c r="B54" i="7" l="1"/>
  <c r="D53" i="7"/>
  <c r="B55" i="7" l="1"/>
  <c r="D54" i="7"/>
  <c r="B56" i="7" l="1"/>
  <c r="D55" i="7"/>
  <c r="B57" i="7" l="1"/>
  <c r="D56" i="7"/>
  <c r="B58" i="7" l="1"/>
  <c r="D57" i="7"/>
  <c r="B59" i="7" l="1"/>
  <c r="D58" i="7"/>
  <c r="B60" i="7" l="1"/>
  <c r="D59" i="7"/>
  <c r="B61" i="7" l="1"/>
  <c r="D60" i="7"/>
  <c r="B62" i="7" l="1"/>
  <c r="D61" i="7"/>
  <c r="B63" i="7" l="1"/>
  <c r="D62" i="7"/>
  <c r="B64" i="7" l="1"/>
  <c r="D63" i="7"/>
  <c r="B65" i="7" l="1"/>
  <c r="D64" i="7"/>
  <c r="B66" i="7" l="1"/>
  <c r="D65" i="7"/>
  <c r="B67" i="7" l="1"/>
  <c r="D66" i="7"/>
  <c r="B68" i="7" l="1"/>
  <c r="D67" i="7"/>
  <c r="B69" i="7" l="1"/>
  <c r="D68" i="7"/>
  <c r="B70" i="7" l="1"/>
  <c r="D69" i="7"/>
  <c r="B71" i="7" l="1"/>
  <c r="D70" i="7"/>
  <c r="B72" i="7" l="1"/>
  <c r="D71" i="7"/>
  <c r="B73" i="7" l="1"/>
  <c r="D72" i="7"/>
  <c r="B74" i="7" l="1"/>
  <c r="D73" i="7"/>
  <c r="B75" i="7" l="1"/>
  <c r="D74" i="7"/>
  <c r="B76" i="7" l="1"/>
  <c r="D75" i="7"/>
  <c r="B77" i="7" l="1"/>
  <c r="D76" i="7"/>
  <c r="B78" i="7" l="1"/>
  <c r="D77" i="7"/>
  <c r="B79" i="7" l="1"/>
  <c r="D78" i="7"/>
  <c r="B80" i="7" l="1"/>
  <c r="D79" i="7"/>
  <c r="B81" i="7" l="1"/>
  <c r="D80" i="7"/>
  <c r="B82" i="7" l="1"/>
  <c r="D81" i="7"/>
  <c r="B83" i="7" l="1"/>
  <c r="D82" i="7"/>
  <c r="B84" i="7" l="1"/>
  <c r="D83" i="7"/>
  <c r="B85" i="7" l="1"/>
  <c r="D84" i="7"/>
  <c r="B86" i="7" l="1"/>
  <c r="D85" i="7"/>
  <c r="B87" i="7" l="1"/>
  <c r="D86" i="7"/>
  <c r="B88" i="7" l="1"/>
  <c r="D87" i="7"/>
  <c r="B89" i="7" l="1"/>
  <c r="D88" i="7"/>
  <c r="B90" i="7" l="1"/>
  <c r="D89" i="7"/>
  <c r="B91" i="7" l="1"/>
  <c r="D90" i="7"/>
  <c r="B92" i="7" l="1"/>
  <c r="D92" i="7" s="1"/>
  <c r="D9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tc={6B69EC15-583A-4D0C-A612-1EAE9355EB08}</author>
  </authors>
  <commentList>
    <comment ref="A7" authorId="0" shapeId="0" xr:uid="{6B69EC15-583A-4D0C-A612-1EAE9355EB0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Specificy the year like 2025 / 2027 / 2029 -&gt; would simulate over these year for the values proposed below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<sst xmlns="http://schemas.openxmlformats.org/spreadsheetml/2006/main" count="549" uniqueCount="257">
  <si>
    <t>Model</t>
  </si>
  <si>
    <t>parameter's name</t>
  </si>
  <si>
    <t>type</t>
  </si>
  <si>
    <t>value</t>
  </si>
  <si>
    <t>default</t>
  </si>
  <si>
    <t>Name</t>
  </si>
  <si>
    <t>string</t>
  </si>
  <si>
    <t>Start of simulation</t>
  </si>
  <si>
    <t>datetime</t>
  </si>
  <si>
    <t>End of simulation</t>
  </si>
  <si>
    <t>Operation</t>
  </si>
  <si>
    <t>Resolution</t>
  </si>
  <si>
    <t>duration</t>
  </si>
  <si>
    <t>1h</t>
  </si>
  <si>
    <t>Start</t>
  </si>
  <si>
    <t xml:space="preserve">End </t>
  </si>
  <si>
    <t>bool</t>
  </si>
  <si>
    <t>Economic</t>
  </si>
  <si>
    <t>Investment</t>
  </si>
  <si>
    <t>Single year</t>
  </si>
  <si>
    <t>Occurrence date</t>
  </si>
  <si>
    <t>Multi year</t>
  </si>
  <si>
    <t>1st occurrence date</t>
  </si>
  <si>
    <t>Last occurrence date</t>
  </si>
  <si>
    <t>1Y</t>
  </si>
  <si>
    <t>float</t>
  </si>
  <si>
    <t>Type</t>
  </si>
  <si>
    <t>Date of construction</t>
  </si>
  <si>
    <t>Name (opt)</t>
  </si>
  <si>
    <t>Representative days (opt)</t>
  </si>
  <si>
    <t>model</t>
  </si>
  <si>
    <t>operation</t>
  </si>
  <si>
    <t>Single Family</t>
  </si>
  <si>
    <t>Multi Families</t>
  </si>
  <si>
    <t>House_1</t>
  </si>
  <si>
    <t>District Number</t>
  </si>
  <si>
    <t>Building Number</t>
  </si>
  <si>
    <t>Electricity</t>
  </si>
  <si>
    <t>Gas</t>
  </si>
  <si>
    <t>Heat</t>
  </si>
  <si>
    <t>Imports</t>
  </si>
  <si>
    <t>Exports</t>
  </si>
  <si>
    <t>Hydrogen</t>
  </si>
  <si>
    <t>Wood</t>
  </si>
  <si>
    <t>Gas Turbine</t>
  </si>
  <si>
    <t>Wind Mill</t>
  </si>
  <si>
    <t>Input commodity 1</t>
  </si>
  <si>
    <t>Input commodity 2</t>
  </si>
  <si>
    <t>Output commodity 1</t>
  </si>
  <si>
    <t>Output commodity 2</t>
  </si>
  <si>
    <t>CHP Wood</t>
  </si>
  <si>
    <t>PV Rooftop</t>
  </si>
  <si>
    <t>PV Farm</t>
  </si>
  <si>
    <t>Electrolysis</t>
  </si>
  <si>
    <t>Input commodity 3</t>
  </si>
  <si>
    <t>Heat pump</t>
  </si>
  <si>
    <t>Output commodity 3</t>
  </si>
  <si>
    <t>fom_cost</t>
  </si>
  <si>
    <t>unit []</t>
  </si>
  <si>
    <t>Production Units - Number</t>
  </si>
  <si>
    <t>technical_name</t>
  </si>
  <si>
    <t>Fixed operation/maintenance costs</t>
  </si>
  <si>
    <t xml:space="preserve">CO2 production </t>
  </si>
  <si>
    <t>[kg CO2 / kWh]</t>
  </si>
  <si>
    <t>kW</t>
  </si>
  <si>
    <t>CHF/kW/h</t>
  </si>
  <si>
    <t>%</t>
  </si>
  <si>
    <t>Efficiencies (commodity to commodity)</t>
  </si>
  <si>
    <t>Gas boiler</t>
  </si>
  <si>
    <t xml:space="preserve">Capacities </t>
  </si>
  <si>
    <t>Efficiency 1 → 2</t>
  </si>
  <si>
    <t>Efficiency 1 → 3</t>
  </si>
  <si>
    <t>Efficiency 2 → 1</t>
  </si>
  <si>
    <t>Efficiency 2 → 2</t>
  </si>
  <si>
    <t>Efficiency 2 → 3</t>
  </si>
  <si>
    <t>Efficiency 3 → 1</t>
  </si>
  <si>
    <t>Efficiency 3 → 2</t>
  </si>
  <si>
    <t>Efficiency 3 → 3</t>
  </si>
  <si>
    <t>Capacity INPUT 1</t>
  </si>
  <si>
    <t>Capacity INPUT 2</t>
  </si>
  <si>
    <t>Capacity INPUT 3</t>
  </si>
  <si>
    <t>Capacity OUTPUT 1</t>
  </si>
  <si>
    <t>Capacity OUTPUT 2</t>
  </si>
  <si>
    <t>Capacity OUTPUT 3</t>
  </si>
  <si>
    <t>Advanced technical</t>
  </si>
  <si>
    <t>Start-up cost</t>
  </si>
  <si>
    <t>CHF/startup</t>
  </si>
  <si>
    <t>Shutdown cost</t>
  </si>
  <si>
    <t>CHF/shutdown</t>
  </si>
  <si>
    <t>shut_down_cost</t>
  </si>
  <si>
    <t>start_up_cost</t>
  </si>
  <si>
    <t>min_up_time</t>
  </si>
  <si>
    <t>min_down_time</t>
  </si>
  <si>
    <t>5h</t>
  </si>
  <si>
    <t>10h</t>
  </si>
  <si>
    <t>24h</t>
  </si>
  <si>
    <t>2h</t>
  </si>
  <si>
    <r>
      <t xml:space="preserve">Efficiency  1 </t>
    </r>
    <r>
      <rPr>
        <sz val="14"/>
        <color theme="1"/>
        <rFont val="Calibri"/>
        <family val="2"/>
        <scheme val="minor"/>
      </rPr>
      <t>→</t>
    </r>
    <r>
      <rPr>
        <i/>
        <sz val="14"/>
        <color theme="1"/>
        <rFont val="Calibri"/>
        <family val="2"/>
        <scheme val="minor"/>
      </rPr>
      <t xml:space="preserve"> 1</t>
    </r>
  </si>
  <si>
    <t>Variable operating costs</t>
  </si>
  <si>
    <t>CHF/kWh</t>
  </si>
  <si>
    <t>vom_cost</t>
  </si>
  <si>
    <t xml:space="preserve">Minimum down time </t>
  </si>
  <si>
    <t>Minimum up time</t>
  </si>
  <si>
    <t>% / time unit</t>
  </si>
  <si>
    <t>Ramping limit (to commodity)</t>
  </si>
  <si>
    <t>Ramp up limit OUT1</t>
  </si>
  <si>
    <t>Ramp down limit OUT1</t>
  </si>
  <si>
    <t>Ramp up limit OUT2</t>
  </si>
  <si>
    <t>Ramp down limit OUT2</t>
  </si>
  <si>
    <t>Ramp up limit OUT3</t>
  </si>
  <si>
    <t>Ramp down limit OUT3</t>
  </si>
  <si>
    <t>Investments</t>
  </si>
  <si>
    <t>Commodity</t>
  </si>
  <si>
    <t xml:space="preserve">Time </t>
  </si>
  <si>
    <t>Value</t>
  </si>
  <si>
    <t>Unit</t>
  </si>
  <si>
    <t>Import price</t>
  </si>
  <si>
    <t>Export price</t>
  </si>
  <si>
    <t>Local demand</t>
  </si>
  <si>
    <t>Availability Factor</t>
  </si>
  <si>
    <t>Repeat</t>
  </si>
  <si>
    <t xml:space="preserve">Ignore year </t>
  </si>
  <si>
    <t>Investment Cost</t>
  </si>
  <si>
    <t>Economic lifetime</t>
  </si>
  <si>
    <t>Technical lifetime</t>
  </si>
  <si>
    <t>unit_investment_econ_lifetime</t>
  </si>
  <si>
    <t>unit_investment_cost</t>
  </si>
  <si>
    <t>CHF</t>
  </si>
  <si>
    <t>Investment type</t>
  </si>
  <si>
    <t>unit_investment_variable_type</t>
  </si>
  <si>
    <t>Integer</t>
  </si>
  <si>
    <t>Continuous</t>
  </si>
  <si>
    <t>Discount rate (technology specific)</t>
  </si>
  <si>
    <t>Decommissionning cost</t>
  </si>
  <si>
    <t>Decommissionning time</t>
  </si>
  <si>
    <t>unit_lead_time</t>
  </si>
  <si>
    <t>unit_discount_rate_technology_specific</t>
  </si>
  <si>
    <t>unit_decommissioning_time</t>
  </si>
  <si>
    <t>unit_decommissioning_cost</t>
  </si>
  <si>
    <t>[]</t>
  </si>
  <si>
    <t>Lead time</t>
  </si>
  <si>
    <t>Connections</t>
  </si>
  <si>
    <t>District(s) OUT</t>
  </si>
  <si>
    <t>District(s) IN</t>
  </si>
  <si>
    <t>connection_type_lossless_bidirectional</t>
  </si>
  <si>
    <t>Number of units</t>
  </si>
  <si>
    <t>Candidate units</t>
  </si>
  <si>
    <t>Retrofited</t>
  </si>
  <si>
    <t>Buildings (quantities)</t>
  </si>
  <si>
    <t>District / Building scale</t>
  </si>
  <si>
    <t>District level</t>
  </si>
  <si>
    <t>Building level</t>
  </si>
  <si>
    <t>Exporting district(s)</t>
  </si>
  <si>
    <t>District</t>
  </si>
  <si>
    <t>Building</t>
  </si>
  <si>
    <t>Number of connections</t>
  </si>
  <si>
    <t xml:space="preserve">Candidates </t>
  </si>
  <si>
    <t>candidate_connections</t>
  </si>
  <si>
    <t>connection_investment_cost</t>
  </si>
  <si>
    <t>connection_discount_rate_technology_specific</t>
  </si>
  <si>
    <t>connection_lead_time</t>
  </si>
  <si>
    <t>connection_investment_econ_lifetime</t>
  </si>
  <si>
    <t>connection_investment_tech_lifetime</t>
  </si>
  <si>
    <t>connection_investment_variable_type</t>
  </si>
  <si>
    <t>connection_decommissioning_cost</t>
  </si>
  <si>
    <t>connection_decommissioning_time</t>
  </si>
  <si>
    <t>From district(s)</t>
  </si>
  <si>
    <t>Capacity</t>
  </si>
  <si>
    <t>connection_capacity</t>
  </si>
  <si>
    <t>Flow Cost</t>
  </si>
  <si>
    <t>Efficiency</t>
  </si>
  <si>
    <t>fix_ratio_out_in_connection_flow</t>
  </si>
  <si>
    <t>connection_flow_cost</t>
  </si>
  <si>
    <t>To district(s)</t>
  </si>
  <si>
    <t>AND MULTIPLY CONNECTIONS AND CONNECTIONS AND CONNECTIONS</t>
  </si>
  <si>
    <t>Commodities (presence as node in district)</t>
  </si>
  <si>
    <t>1M</t>
  </si>
  <si>
    <t>name</t>
  </si>
  <si>
    <t>discount_rate</t>
  </si>
  <si>
    <t>Discount rate</t>
  </si>
  <si>
    <t>Reference year discount rate</t>
  </si>
  <si>
    <t>discount_year</t>
  </si>
  <si>
    <t>model_start</t>
  </si>
  <si>
    <t>model_end</t>
  </si>
  <si>
    <t>resolution</t>
  </si>
  <si>
    <t>block_start</t>
  </si>
  <si>
    <t>block_end</t>
  </si>
  <si>
    <t>Model general parameters</t>
  </si>
  <si>
    <t>unit_investment_tech_lifetime</t>
  </si>
  <si>
    <t>NaM_investment</t>
  </si>
  <si>
    <t>fix_ratio_out_in_unit_flow(IN1-OUT1)</t>
  </si>
  <si>
    <t>fix_ratio_out_in_unit_flow(IN1-OUT2)</t>
  </si>
  <si>
    <t>fix_ratio_out_in_unit_flow(IN1-OUT3)</t>
  </si>
  <si>
    <t>fix_ratio_out_in_unit_flow(IN2-OUT1)</t>
  </si>
  <si>
    <t>fix_ratio_out_in_unit_flow(IN2-OUT2)</t>
  </si>
  <si>
    <t>fix_ratio_out_in_unit_flow(IN2-OUT3)</t>
  </si>
  <si>
    <t>fix_ratio_out_in_unit_flow(IN3-OUT1)</t>
  </si>
  <si>
    <t>fix_ratio_out_in_unit_flow(IN3-OUT2)</t>
  </si>
  <si>
    <t>fix_ratio_out_in_unit_flow(IN3-OUT3)</t>
  </si>
  <si>
    <t>NaM_emission</t>
  </si>
  <si>
    <t>NaM_scale</t>
  </si>
  <si>
    <t>NaM_unit__from_node1</t>
  </si>
  <si>
    <t>NaM_unit__from_node2</t>
  </si>
  <si>
    <t>NaM_unit__from_node3</t>
  </si>
  <si>
    <t>NaM_unit__to_node1</t>
  </si>
  <si>
    <t>NaM_unit__to_node2</t>
  </si>
  <si>
    <t>NaM_unit__to_node3</t>
  </si>
  <si>
    <t>10Y</t>
  </si>
  <si>
    <t>6M</t>
  </si>
  <si>
    <t>8Y</t>
  </si>
  <si>
    <t>20Y</t>
  </si>
  <si>
    <t>2M</t>
  </si>
  <si>
    <t>4M</t>
  </si>
  <si>
    <t>17Y</t>
  </si>
  <si>
    <t>22Y</t>
  </si>
  <si>
    <t>18Y</t>
  </si>
  <si>
    <t>Quantity</t>
  </si>
  <si>
    <t>Global at District Level</t>
  </si>
  <si>
    <t>Units presence (district level)</t>
  </si>
  <si>
    <t>Units presence (building level)</t>
  </si>
  <si>
    <t>Number of units (NoU)</t>
  </si>
  <si>
    <t>Candidate units (CU)</t>
  </si>
  <si>
    <t>NoU</t>
  </si>
  <si>
    <t>CA</t>
  </si>
  <si>
    <t>Horizon</t>
  </si>
  <si>
    <t>(Intervals between 2 operations)</t>
  </si>
  <si>
    <t xml:space="preserve">Year </t>
  </si>
  <si>
    <t>Janot (D1)</t>
  </si>
  <si>
    <t>Janot (D1); Prevot (D2)</t>
  </si>
  <si>
    <t>Importing district(s)</t>
  </si>
  <si>
    <t>Slime (D1)</t>
  </si>
  <si>
    <t>Rodes (D2)</t>
  </si>
  <si>
    <t>Commodities demand</t>
  </si>
  <si>
    <t>Electricity; Heat</t>
  </si>
  <si>
    <t>1961-1985</t>
  </si>
  <si>
    <t>1986-2010</t>
  </si>
  <si>
    <t>&gt;2010</t>
  </si>
  <si>
    <t>bool_investment</t>
  </si>
  <si>
    <t>rate</t>
  </si>
  <si>
    <t>unit_capacity(from_node1)</t>
  </si>
  <si>
    <t>unit_capacity(from_node2)</t>
  </si>
  <si>
    <t>unit_capacity(from_node3)</t>
  </si>
  <si>
    <t>unit_capacity(to_node1)</t>
  </si>
  <si>
    <t>unit_capacity(to_node2)</t>
  </si>
  <si>
    <t>unit_capacity(to_node3)</t>
  </si>
  <si>
    <t>ramp_up_limit(to_node1)</t>
  </si>
  <si>
    <t>ramp_down_limit(to_node1)</t>
  </si>
  <si>
    <t>ramp_up_limit(to_node2)</t>
  </si>
  <si>
    <t>ramp_down_limit(to_node2)</t>
  </si>
  <si>
    <t>ramp_up_limit(to_node3)</t>
  </si>
  <si>
    <t>ramp_down_limit(to_node3)</t>
  </si>
  <si>
    <t>SF1980_2F</t>
  </si>
  <si>
    <t>MF1990_3F</t>
  </si>
  <si>
    <t>MF2005_1F</t>
  </si>
  <si>
    <t>SF2012_4F</t>
  </si>
  <si>
    <t>Janot</t>
  </si>
  <si>
    <t>Rode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</si>
</sst>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0"/>
      <color rgb="FF00610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204">
    <xf numFmtId="0" fontId="0" fillId="0" borderId="0" xfId="0"/>
    <xf numFmtId="0" fontId="3" fillId="2" borderId="1" xfId="2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22" fontId="0" fillId="0" borderId="10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4" borderId="0" xfId="0" applyFont="1" applyFill="1" applyAlignment="1">
      <alignment horizontal="center" vertical="center"/>
    </xf>
    <xf numFmtId="22" fontId="6" fillId="0" borderId="0" xfId="0" applyNumberFormat="1" applyFont="1" applyAlignment="1">
      <alignment horizontal="center" vertical="center"/>
    </xf>
    <xf numFmtId="0" fontId="0" fillId="0" borderId="26" xfId="0" applyBorder="1"/>
    <xf numFmtId="0" fontId="0" fillId="0" borderId="25" xfId="0" applyBorder="1"/>
    <xf numFmtId="0" fontId="7" fillId="0" borderId="1" xfId="0" applyFont="1" applyBorder="1"/>
    <xf numFmtId="0" fontId="5" fillId="0" borderId="27" xfId="0" applyFont="1" applyBorder="1"/>
    <xf numFmtId="0" fontId="7" fillId="0" borderId="26" xfId="0" applyFont="1" applyBorder="1"/>
    <xf numFmtId="0" fontId="5" fillId="0" borderId="26" xfId="0" applyFont="1" applyBorder="1"/>
    <xf numFmtId="0" fontId="5" fillId="0" borderId="26" xfId="0" applyFont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/>
    <xf numFmtId="0" fontId="8" fillId="0" borderId="1" xfId="0" applyFont="1" applyBorder="1"/>
    <xf numFmtId="0" fontId="9" fillId="0" borderId="1" xfId="0" applyFont="1" applyBorder="1" applyAlignment="1">
      <alignment horizontal="center" vertical="center"/>
    </xf>
    <xf numFmtId="0" fontId="9" fillId="0" borderId="27" xfId="0" applyFont="1" applyBorder="1"/>
    <xf numFmtId="0" fontId="5" fillId="0" borderId="26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25" xfId="0" applyFont="1" applyBorder="1"/>
    <xf numFmtId="0" fontId="5" fillId="0" borderId="25" xfId="0" applyFont="1" applyBorder="1" applyAlignment="1">
      <alignment horizontal="center" vertical="center"/>
    </xf>
    <xf numFmtId="0" fontId="5" fillId="0" borderId="28" xfId="0" applyFont="1" applyBorder="1"/>
    <xf numFmtId="0" fontId="5" fillId="0" borderId="29" xfId="0" applyFont="1" applyBorder="1"/>
    <xf numFmtId="0" fontId="5" fillId="0" borderId="29" xfId="0" applyFont="1" applyBorder="1" applyAlignment="1">
      <alignment horizontal="center" vertical="center"/>
    </xf>
    <xf numFmtId="0" fontId="5" fillId="0" borderId="30" xfId="0" applyFont="1" applyBorder="1"/>
    <xf numFmtId="0" fontId="5" fillId="0" borderId="32" xfId="0" applyFont="1" applyBorder="1"/>
    <xf numFmtId="0" fontId="5" fillId="0" borderId="32" xfId="0" applyFont="1" applyBorder="1" applyAlignment="1">
      <alignment horizontal="center" vertical="center"/>
    </xf>
    <xf numFmtId="0" fontId="5" fillId="0" borderId="33" xfId="0" applyFont="1" applyBorder="1"/>
    <xf numFmtId="0" fontId="5" fillId="0" borderId="35" xfId="0" applyFont="1" applyBorder="1"/>
    <xf numFmtId="0" fontId="5" fillId="0" borderId="35" xfId="0" applyFont="1" applyBorder="1" applyAlignment="1">
      <alignment horizontal="center" vertical="center"/>
    </xf>
    <xf numFmtId="0" fontId="5" fillId="0" borderId="36" xfId="0" applyFont="1" applyBorder="1"/>
    <xf numFmtId="0" fontId="9" fillId="0" borderId="37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7" fillId="0" borderId="32" xfId="0" applyFont="1" applyBorder="1"/>
    <xf numFmtId="0" fontId="7" fillId="0" borderId="35" xfId="0" applyFont="1" applyBorder="1"/>
    <xf numFmtId="0" fontId="5" fillId="0" borderId="37" xfId="0" applyFont="1" applyBorder="1" applyAlignment="1">
      <alignment horizontal="center" vertical="center"/>
    </xf>
    <xf numFmtId="0" fontId="7" fillId="0" borderId="25" xfId="0" applyFont="1" applyBorder="1"/>
    <xf numFmtId="0" fontId="5" fillId="0" borderId="38" xfId="0" applyFont="1" applyBorder="1" applyAlignment="1">
      <alignment horizontal="center" vertical="center"/>
    </xf>
    <xf numFmtId="0" fontId="7" fillId="0" borderId="29" xfId="0" applyFont="1" applyBorder="1"/>
    <xf numFmtId="0" fontId="5" fillId="0" borderId="39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0" fontId="11" fillId="0" borderId="1" xfId="0" applyFont="1" applyBorder="1"/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1" xfId="0" applyFont="1" applyBorder="1"/>
    <xf numFmtId="0" fontId="12" fillId="0" borderId="27" xfId="0" applyFont="1" applyBorder="1"/>
    <xf numFmtId="164" fontId="5" fillId="0" borderId="25" xfId="1" applyNumberFormat="1" applyFont="1" applyBorder="1" applyAlignment="1">
      <alignment horizontal="center" vertical="center"/>
    </xf>
    <xf numFmtId="164" fontId="5" fillId="0" borderId="26" xfId="1" applyNumberFormat="1" applyFont="1" applyBorder="1" applyAlignment="1">
      <alignment horizontal="center" vertical="center"/>
    </xf>
    <xf numFmtId="164" fontId="5" fillId="0" borderId="29" xfId="1" applyNumberFormat="1" applyFont="1" applyBorder="1" applyAlignment="1">
      <alignment horizontal="center" vertical="center"/>
    </xf>
    <xf numFmtId="0" fontId="0" fillId="0" borderId="40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43" xfId="0" applyBorder="1"/>
    <xf numFmtId="0" fontId="0" fillId="0" borderId="2" xfId="0" applyBorder="1"/>
    <xf numFmtId="0" fontId="0" fillId="0" borderId="11" xfId="0" applyBorder="1"/>
    <xf numFmtId="0" fontId="0" fillId="0" borderId="44" xfId="0" applyBorder="1"/>
    <xf numFmtId="0" fontId="0" fillId="0" borderId="45" xfId="0" applyBorder="1"/>
    <xf numFmtId="22" fontId="0" fillId="0" borderId="43" xfId="0" applyNumberFormat="1" applyBorder="1"/>
    <xf numFmtId="165" fontId="0" fillId="0" borderId="40" xfId="0" applyNumberFormat="1" applyBorder="1"/>
    <xf numFmtId="0" fontId="2" fillId="2" borderId="26" xfId="2" applyBorder="1" applyAlignment="1">
      <alignment horizontal="center" vertical="center"/>
    </xf>
    <xf numFmtId="0" fontId="2" fillId="2" borderId="22" xfId="2" applyBorder="1" applyAlignment="1">
      <alignment horizontal="center" vertical="center"/>
    </xf>
    <xf numFmtId="0" fontId="2" fillId="2" borderId="26" xfId="2" applyBorder="1"/>
    <xf numFmtId="0" fontId="5" fillId="0" borderId="1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3" fillId="2" borderId="26" xfId="2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4" fillId="0" borderId="26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9" fillId="0" borderId="46" xfId="0" applyFont="1" applyBorder="1" applyAlignment="1">
      <alignment horizontal="center" vertical="center"/>
    </xf>
    <xf numFmtId="0" fontId="5" fillId="0" borderId="40" xfId="0" applyFont="1" applyBorder="1" applyAlignment="1">
      <alignment horizontal="center" vertical="center"/>
    </xf>
    <xf numFmtId="0" fontId="14" fillId="0" borderId="38" xfId="0" applyFont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0" borderId="39" xfId="0" applyFont="1" applyBorder="1" applyAlignment="1">
      <alignment horizontal="center" vertical="center"/>
    </xf>
    <xf numFmtId="0" fontId="0" fillId="0" borderId="3" xfId="0" applyBorder="1"/>
    <xf numFmtId="0" fontId="0" fillId="0" borderId="47" xfId="0" applyBorder="1"/>
    <xf numFmtId="0" fontId="14" fillId="0" borderId="25" xfId="0" applyFont="1" applyBorder="1" applyAlignment="1">
      <alignment horizontal="center" vertical="center"/>
    </xf>
    <xf numFmtId="0" fontId="5" fillId="0" borderId="39" xfId="0" applyFont="1" applyBorder="1"/>
    <xf numFmtId="0" fontId="14" fillId="0" borderId="40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4" fillId="0" borderId="40" xfId="0" applyFont="1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25" xfId="0" applyFont="1" applyBorder="1"/>
    <xf numFmtId="0" fontId="6" fillId="0" borderId="26" xfId="0" applyFont="1" applyBorder="1"/>
    <xf numFmtId="0" fontId="6" fillId="0" borderId="32" xfId="0" applyFont="1" applyBorder="1"/>
    <xf numFmtId="0" fontId="6" fillId="0" borderId="29" xfId="0" applyFont="1" applyBorder="1"/>
    <xf numFmtId="0" fontId="16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17" fillId="0" borderId="1" xfId="0" applyFont="1" applyBorder="1"/>
    <xf numFmtId="0" fontId="7" fillId="0" borderId="46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4" fillId="0" borderId="1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1" xfId="0" applyFont="1" applyBorder="1"/>
    <xf numFmtId="0" fontId="9" fillId="0" borderId="1" xfId="0" applyFont="1" applyBorder="1" applyAlignment="1">
      <alignment wrapText="1"/>
    </xf>
    <xf numFmtId="0" fontId="5" fillId="0" borderId="41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164" fontId="5" fillId="0" borderId="41" xfId="1" applyNumberFormat="1" applyFont="1" applyBorder="1" applyAlignment="1">
      <alignment horizontal="center" vertical="center"/>
    </xf>
    <xf numFmtId="164" fontId="5" fillId="0" borderId="40" xfId="1" applyNumberFormat="1" applyFont="1" applyBorder="1" applyAlignment="1">
      <alignment horizontal="center" vertical="center"/>
    </xf>
    <xf numFmtId="164" fontId="5" fillId="0" borderId="42" xfId="1" applyNumberFormat="1" applyFont="1" applyBorder="1" applyAlignment="1">
      <alignment horizontal="center" vertical="center"/>
    </xf>
    <xf numFmtId="0" fontId="11" fillId="0" borderId="25" xfId="0" applyFont="1" applyBorder="1"/>
    <xf numFmtId="0" fontId="11" fillId="0" borderId="29" xfId="0" applyFont="1" applyBorder="1"/>
    <xf numFmtId="0" fontId="11" fillId="0" borderId="26" xfId="0" applyFont="1" applyBorder="1"/>
    <xf numFmtId="1" fontId="14" fillId="0" borderId="0" xfId="0" applyNumberFormat="1" applyFont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40" xfId="0" applyBorder="1" applyAlignment="1">
      <alignment horizontal="center"/>
    </xf>
    <xf numFmtId="0" fontId="5" fillId="0" borderId="28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5" borderId="26" xfId="0" applyFont="1" applyFill="1" applyBorder="1" applyAlignment="1">
      <alignment horizontal="center" vertical="center"/>
    </xf>
    <xf numFmtId="0" fontId="5" fillId="0" borderId="22" xfId="0" applyFont="1" applyBorder="1" applyAlignment="1">
      <alignment vertical="center"/>
    </xf>
    <xf numFmtId="0" fontId="5" fillId="0" borderId="38" xfId="0" applyFont="1" applyBorder="1" applyAlignment="1">
      <alignment vertical="center"/>
    </xf>
    <xf numFmtId="0" fontId="5" fillId="0" borderId="39" xfId="0" applyFont="1" applyBorder="1" applyAlignment="1">
      <alignment vertical="center"/>
    </xf>
    <xf numFmtId="0" fontId="5" fillId="5" borderId="28" xfId="0" applyFont="1" applyFill="1" applyBorder="1" applyAlignment="1">
      <alignment vertical="center"/>
    </xf>
    <xf numFmtId="0" fontId="5" fillId="5" borderId="0" xfId="0" applyFont="1" applyFill="1" applyAlignment="1">
      <alignment vertical="center"/>
    </xf>
    <xf numFmtId="0" fontId="5" fillId="5" borderId="30" xfId="0" applyFont="1" applyFill="1" applyBorder="1" applyAlignment="1">
      <alignment vertical="center"/>
    </xf>
    <xf numFmtId="0" fontId="5" fillId="0" borderId="28" xfId="0" applyFont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0" xfId="0" applyFont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30" xfId="0" applyFont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22" xfId="0" applyFont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39" xfId="0" applyFont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38" xfId="0" applyFont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5" borderId="41" xfId="0" applyFont="1" applyFill="1" applyBorder="1" applyAlignment="1">
      <alignment vertical="center"/>
    </xf>
    <xf numFmtId="0" fontId="5" fillId="5" borderId="40" xfId="0" applyFont="1" applyFill="1" applyBorder="1" applyAlignment="1">
      <alignment vertical="center"/>
    </xf>
    <xf numFmtId="0" fontId="5" fillId="5" borderId="42" xfId="0" applyFont="1" applyFill="1" applyBorder="1" applyAlignment="1">
      <alignment vertical="center"/>
    </xf>
    <xf numFmtId="9" fontId="14" fillId="0" borderId="40" xfId="1" applyFont="1" applyBorder="1" applyAlignment="1">
      <alignment horizontal="center" vertical="center"/>
    </xf>
    <xf numFmtId="0" fontId="0" fillId="0" borderId="22" xfId="0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0" xfId="0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39" xfId="0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2" xfId="0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22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0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2" xfId="0" applyBorder="1" applyAlignment="1">
      <alignment horizontal="center"/>
    </xf>
    <xf numFmtId="0" fontId="5" fillId="0" borderId="2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9" fillId="0" borderId="46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40" xfId="0" applyFont="1" applyBorder="1" applyAlignment="1">
      <alignment horizontal="center" vertical="center" wrapText="1"/>
    </xf>
    <xf numFmtId="0" fontId="5" fillId="0" borderId="22" xfId="0" applyFont="1" applyBorder="1" applyAlignment="1">
      <alignment horizontal="center" vertical="center" wrapText="1"/>
    </xf>
  </cellXfs>
  <cellStyles count="3">
    <cellStyle name="Good" xfId="2" builtinId="26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Baptistal  Thomas" id="{87A7D584-14CA-4832-ADEC-EEAF9BC37BF6}" userId="S::tbaptistal@ethz.ch::db758df4-97ae-40ef-98de-cf08efbd5b26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7" dT="2024-11-20T10:56:44.93" personId="{87A7D584-14CA-4832-ADEC-EEAF9BC37BF6}" id="{6B69EC15-583A-4D0C-A612-1EAE9355EB08}">
    <text xml:space="preserve">Specificy the year like 2025 / 2027 / 2029 -&gt; would simulate over these year for the values proposed below
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9"/>
  <sheetViews>
    <sheetView zoomScaleNormal="100" workbookViewId="0">
      <selection activeCell="B6" sqref="B6"/>
    </sheetView>
  </sheetViews>
  <sheetFormatPr defaultRowHeight="14.4" x14ac:dyDescent="0.3"/>
  <cols>
    <col min="1" max="1" width="28.77734375" style="3" bestFit="1" customWidth="1"/>
    <col min="2" max="2" width="26.77734375" style="21" bestFit="1" customWidth="1"/>
    <col min="3" max="3" width="18.33203125" style="3" bestFit="1" customWidth="1"/>
    <col min="4" max="4" width="18.33203125" style="3" customWidth="1"/>
    <col min="5" max="5" width="16.109375" style="3" bestFit="1" customWidth="1"/>
    <col min="6" max="6" width="29.5546875" style="21" bestFit="1" customWidth="1"/>
    <col min="7" max="16384" width="8.88671875" style="3"/>
  </cols>
  <sheetData>
    <row r="1" spans="1:6" ht="26.4" thickBot="1" x14ac:dyDescent="0.35">
      <c r="A1" s="1" t="s">
        <v>0</v>
      </c>
      <c r="B1" s="2" t="s">
        <v>1</v>
      </c>
      <c r="C1" s="2" t="s">
        <v>2</v>
      </c>
      <c r="D1" s="2"/>
      <c r="E1" s="2" t="s">
        <v>3</v>
      </c>
      <c r="F1" s="21" t="s">
        <v>4</v>
      </c>
    </row>
    <row r="2" spans="1:6" ht="18.600000000000001" thickBot="1" x14ac:dyDescent="0.35">
      <c r="A2" s="4" t="s">
        <v>187</v>
      </c>
    </row>
    <row r="3" spans="1:6" x14ac:dyDescent="0.3">
      <c r="B3" s="22" t="s">
        <v>28</v>
      </c>
      <c r="C3" s="5" t="s">
        <v>6</v>
      </c>
      <c r="D3" s="138" t="s">
        <v>177</v>
      </c>
      <c r="E3" s="6" t="s">
        <v>30</v>
      </c>
      <c r="F3" s="21" t="s">
        <v>30</v>
      </c>
    </row>
    <row r="4" spans="1:6" x14ac:dyDescent="0.3">
      <c r="B4" s="23" t="s">
        <v>7</v>
      </c>
      <c r="C4" s="7" t="s">
        <v>8</v>
      </c>
      <c r="D4" s="139" t="s">
        <v>182</v>
      </c>
      <c r="E4" s="8">
        <v>45658</v>
      </c>
      <c r="F4" s="33"/>
    </row>
    <row r="5" spans="1:6" ht="15" thickBot="1" x14ac:dyDescent="0.35">
      <c r="B5" s="24" t="s">
        <v>9</v>
      </c>
      <c r="C5" s="9" t="s">
        <v>8</v>
      </c>
      <c r="D5" s="140" t="s">
        <v>183</v>
      </c>
      <c r="E5" s="19">
        <v>47484</v>
      </c>
      <c r="F5" s="33"/>
    </row>
    <row r="7" spans="1:6" ht="15" thickBot="1" x14ac:dyDescent="0.35"/>
    <row r="8" spans="1:6" ht="18.600000000000001" thickBot="1" x14ac:dyDescent="0.35">
      <c r="A8" s="4" t="s">
        <v>10</v>
      </c>
    </row>
    <row r="9" spans="1:6" x14ac:dyDescent="0.3">
      <c r="B9" s="25" t="s">
        <v>28</v>
      </c>
      <c r="C9" s="11" t="s">
        <v>6</v>
      </c>
      <c r="D9" s="141" t="s">
        <v>177</v>
      </c>
      <c r="E9" s="6"/>
      <c r="F9" s="21" t="s">
        <v>31</v>
      </c>
    </row>
    <row r="10" spans="1:6" x14ac:dyDescent="0.3">
      <c r="B10" s="26" t="s">
        <v>11</v>
      </c>
      <c r="C10" s="12" t="s">
        <v>12</v>
      </c>
      <c r="D10" s="142" t="s">
        <v>184</v>
      </c>
      <c r="E10" s="13" t="s">
        <v>13</v>
      </c>
      <c r="F10" s="21" t="s">
        <v>13</v>
      </c>
    </row>
    <row r="11" spans="1:6" x14ac:dyDescent="0.3">
      <c r="B11" s="26" t="s">
        <v>14</v>
      </c>
      <c r="C11" s="12" t="s">
        <v>8</v>
      </c>
      <c r="D11" s="142" t="s">
        <v>185</v>
      </c>
      <c r="E11" s="8">
        <v>45658</v>
      </c>
      <c r="F11" s="33"/>
    </row>
    <row r="12" spans="1:6" x14ac:dyDescent="0.3">
      <c r="B12" s="26" t="s">
        <v>15</v>
      </c>
      <c r="C12" s="12" t="s">
        <v>8</v>
      </c>
      <c r="D12" s="142" t="s">
        <v>186</v>
      </c>
      <c r="E12" s="8">
        <v>47484</v>
      </c>
      <c r="F12" s="33"/>
    </row>
    <row r="13" spans="1:6" ht="15" thickBot="1" x14ac:dyDescent="0.35">
      <c r="B13" s="27" t="s">
        <v>29</v>
      </c>
      <c r="C13" s="14" t="s">
        <v>16</v>
      </c>
      <c r="D13" s="143"/>
      <c r="E13" s="15" t="b">
        <v>0</v>
      </c>
      <c r="F13" s="34" t="b">
        <v>0</v>
      </c>
    </row>
    <row r="14" spans="1:6" x14ac:dyDescent="0.3">
      <c r="B14" s="21" t="s">
        <v>224</v>
      </c>
      <c r="C14" s="3" t="s">
        <v>12</v>
      </c>
      <c r="E14" s="3" t="s">
        <v>208</v>
      </c>
      <c r="F14" s="21" t="s">
        <v>225</v>
      </c>
    </row>
    <row r="17" spans="1:6" ht="15" thickBot="1" x14ac:dyDescent="0.35"/>
    <row r="18" spans="1:6" ht="18.600000000000001" thickBot="1" x14ac:dyDescent="0.35">
      <c r="A18" s="4" t="s">
        <v>17</v>
      </c>
    </row>
    <row r="19" spans="1:6" ht="15" thickBot="1" x14ac:dyDescent="0.35">
      <c r="B19" s="28" t="s">
        <v>18</v>
      </c>
      <c r="C19" s="16" t="s">
        <v>16</v>
      </c>
      <c r="D19" s="144"/>
      <c r="E19" s="17" t="b">
        <v>0</v>
      </c>
      <c r="F19" s="34" t="b">
        <v>0</v>
      </c>
    </row>
    <row r="20" spans="1:6" x14ac:dyDescent="0.3">
      <c r="B20" s="25" t="s">
        <v>19</v>
      </c>
      <c r="C20" s="16" t="s">
        <v>16</v>
      </c>
      <c r="D20" s="144"/>
      <c r="E20" s="18" t="b">
        <v>0</v>
      </c>
      <c r="F20" s="34" t="b">
        <v>0</v>
      </c>
    </row>
    <row r="21" spans="1:6" ht="15" thickBot="1" x14ac:dyDescent="0.35">
      <c r="B21" s="29" t="s">
        <v>20</v>
      </c>
      <c r="C21" s="14" t="s">
        <v>8</v>
      </c>
      <c r="D21" s="143"/>
      <c r="E21" s="19">
        <v>45658</v>
      </c>
      <c r="F21" s="35"/>
    </row>
    <row r="22" spans="1:6" x14ac:dyDescent="0.3">
      <c r="B22" s="25" t="s">
        <v>21</v>
      </c>
      <c r="C22" s="16" t="s">
        <v>16</v>
      </c>
      <c r="D22" s="144"/>
      <c r="E22" s="18" t="b">
        <v>0</v>
      </c>
      <c r="F22" s="34" t="b">
        <v>0</v>
      </c>
    </row>
    <row r="23" spans="1:6" x14ac:dyDescent="0.3">
      <c r="B23" s="30" t="s">
        <v>22</v>
      </c>
      <c r="C23" s="12" t="s">
        <v>8</v>
      </c>
      <c r="D23" s="142"/>
      <c r="E23" s="8">
        <v>45658</v>
      </c>
      <c r="F23" s="35"/>
    </row>
    <row r="24" spans="1:6" x14ac:dyDescent="0.3">
      <c r="B24" s="31" t="s">
        <v>23</v>
      </c>
      <c r="C24" s="12" t="s">
        <v>8</v>
      </c>
      <c r="D24" s="142"/>
      <c r="E24" s="8">
        <v>47484</v>
      </c>
      <c r="F24" s="35"/>
    </row>
    <row r="25" spans="1:6" ht="15" thickBot="1" x14ac:dyDescent="0.35">
      <c r="B25" s="32" t="s">
        <v>11</v>
      </c>
      <c r="C25" s="20" t="s">
        <v>12</v>
      </c>
      <c r="D25" s="145"/>
      <c r="E25" s="10" t="s">
        <v>24</v>
      </c>
      <c r="F25" s="35"/>
    </row>
    <row r="26" spans="1:6" x14ac:dyDescent="0.3">
      <c r="B26" s="25" t="s">
        <v>179</v>
      </c>
      <c r="C26" s="11" t="s">
        <v>25</v>
      </c>
      <c r="D26" s="141" t="s">
        <v>178</v>
      </c>
      <c r="E26" s="6">
        <v>0.05</v>
      </c>
      <c r="F26" s="21">
        <v>0</v>
      </c>
    </row>
    <row r="27" spans="1:6" ht="15" thickBot="1" x14ac:dyDescent="0.35">
      <c r="B27" s="27" t="s">
        <v>180</v>
      </c>
      <c r="C27" s="14" t="s">
        <v>8</v>
      </c>
      <c r="D27" s="143" t="s">
        <v>181</v>
      </c>
      <c r="E27" s="19">
        <v>43831</v>
      </c>
      <c r="F27" s="36">
        <f>E4</f>
        <v>45658</v>
      </c>
    </row>
    <row r="29" spans="1:6" x14ac:dyDescent="0.3">
      <c r="E29" s="3" t="str">
        <f>IF(AND(E20,E22), "Single year OR Multi year", "OK")</f>
        <v>OK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487E6-6C5D-4165-BE43-E71B582FF86A}">
  <sheetPr codeName="Sheet2"/>
  <dimension ref="A1:W50"/>
  <sheetViews>
    <sheetView zoomScale="85" zoomScaleNormal="85" workbookViewId="0">
      <selection activeCell="E11" sqref="E11"/>
    </sheetView>
  </sheetViews>
  <sheetFormatPr defaultRowHeight="18" x14ac:dyDescent="0.35"/>
  <cols>
    <col min="1" max="1" width="49.33203125" style="41" customWidth="1"/>
    <col min="2" max="2" width="18.77734375" style="76" bestFit="1" customWidth="1"/>
    <col min="3" max="3" width="35.109375" style="41" customWidth="1"/>
    <col min="4" max="14" width="20.77734375" style="43" customWidth="1"/>
    <col min="15" max="15" width="20.77734375" style="63" customWidth="1"/>
    <col min="16" max="23" width="20.77734375" style="42" customWidth="1"/>
    <col min="24" max="16384" width="8.88671875" style="44"/>
  </cols>
  <sheetData>
    <row r="1" spans="1:23" s="48" customFormat="1" ht="21.6" thickBot="1" x14ac:dyDescent="0.45">
      <c r="A1" s="80" t="s">
        <v>59</v>
      </c>
      <c r="B1" s="66"/>
      <c r="C1" s="46"/>
      <c r="D1" s="47">
        <v>1</v>
      </c>
      <c r="E1" s="47">
        <v>2</v>
      </c>
      <c r="F1" s="47">
        <v>3</v>
      </c>
      <c r="G1" s="47">
        <v>4</v>
      </c>
      <c r="H1" s="47">
        <v>5</v>
      </c>
      <c r="I1" s="47">
        <v>6</v>
      </c>
      <c r="J1" s="47">
        <v>7</v>
      </c>
      <c r="K1" s="47">
        <v>8</v>
      </c>
      <c r="L1" s="47">
        <v>9</v>
      </c>
      <c r="M1" s="47">
        <v>10</v>
      </c>
      <c r="N1" s="47">
        <v>11</v>
      </c>
      <c r="O1" s="62">
        <v>12</v>
      </c>
      <c r="P1" s="47">
        <v>13</v>
      </c>
      <c r="Q1" s="47">
        <v>14</v>
      </c>
      <c r="R1" s="47">
        <v>15</v>
      </c>
      <c r="S1" s="47">
        <v>16</v>
      </c>
      <c r="T1" s="47">
        <v>17</v>
      </c>
      <c r="U1" s="47">
        <v>18</v>
      </c>
      <c r="V1" s="47">
        <v>19</v>
      </c>
      <c r="W1" s="47">
        <v>20</v>
      </c>
    </row>
    <row r="2" spans="1:23" ht="18.600000000000001" thickBot="1" x14ac:dyDescent="0.4">
      <c r="A2" s="41" t="s">
        <v>5</v>
      </c>
      <c r="B2" s="78" t="s">
        <v>58</v>
      </c>
      <c r="C2" s="41" t="s">
        <v>60</v>
      </c>
      <c r="D2" s="104" t="s">
        <v>44</v>
      </c>
      <c r="E2" s="104" t="s">
        <v>45</v>
      </c>
      <c r="F2" s="104" t="s">
        <v>50</v>
      </c>
      <c r="G2" s="104" t="s">
        <v>51</v>
      </c>
      <c r="H2" s="104" t="s">
        <v>52</v>
      </c>
      <c r="I2" s="104" t="s">
        <v>53</v>
      </c>
      <c r="J2" s="104" t="s">
        <v>55</v>
      </c>
      <c r="K2" s="104" t="s">
        <v>68</v>
      </c>
      <c r="L2" s="100"/>
      <c r="M2" s="100"/>
      <c r="N2" s="100"/>
      <c r="O2" s="101"/>
      <c r="P2" s="102"/>
      <c r="Q2" s="102"/>
      <c r="R2" s="102"/>
      <c r="S2" s="102"/>
      <c r="T2" s="102"/>
      <c r="U2" s="102"/>
      <c r="V2" s="102"/>
      <c r="W2" s="102"/>
    </row>
    <row r="3" spans="1:23" s="52" customFormat="1" x14ac:dyDescent="0.35">
      <c r="A3" s="70" t="s">
        <v>46</v>
      </c>
      <c r="B3" s="78" t="s">
        <v>139</v>
      </c>
      <c r="C3" s="70" t="s">
        <v>201</v>
      </c>
      <c r="D3" s="51" t="s">
        <v>38</v>
      </c>
      <c r="E3" s="51"/>
      <c r="F3" s="51" t="s">
        <v>43</v>
      </c>
      <c r="G3" s="51"/>
      <c r="H3" s="51"/>
      <c r="I3" s="51" t="s">
        <v>37</v>
      </c>
      <c r="J3" s="51" t="s">
        <v>37</v>
      </c>
      <c r="K3" s="51" t="s">
        <v>38</v>
      </c>
      <c r="L3" s="51"/>
      <c r="M3" s="51"/>
      <c r="N3" s="51"/>
      <c r="O3" s="71"/>
      <c r="P3" s="50"/>
      <c r="Q3" s="50"/>
      <c r="R3" s="50"/>
      <c r="S3" s="50"/>
      <c r="T3" s="50"/>
      <c r="U3" s="50"/>
      <c r="V3" s="50"/>
      <c r="W3" s="50"/>
    </row>
    <row r="4" spans="1:23" x14ac:dyDescent="0.35">
      <c r="A4" s="41" t="s">
        <v>47</v>
      </c>
      <c r="B4" s="76" t="s">
        <v>139</v>
      </c>
      <c r="C4" s="41" t="s">
        <v>202</v>
      </c>
      <c r="I4" s="43" t="s">
        <v>39</v>
      </c>
    </row>
    <row r="5" spans="1:23" s="61" customFormat="1" ht="18.600000000000001" thickBot="1" x14ac:dyDescent="0.4">
      <c r="A5" s="68" t="s">
        <v>54</v>
      </c>
      <c r="B5" s="77" t="s">
        <v>139</v>
      </c>
      <c r="C5" s="68" t="s">
        <v>203</v>
      </c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5"/>
      <c r="P5" s="59"/>
      <c r="Q5" s="59"/>
      <c r="R5" s="59"/>
      <c r="S5" s="59"/>
      <c r="T5" s="59"/>
      <c r="U5" s="59"/>
      <c r="V5" s="59"/>
      <c r="W5" s="59"/>
    </row>
    <row r="6" spans="1:23" s="58" customFormat="1" x14ac:dyDescent="0.35">
      <c r="A6" s="67" t="s">
        <v>48</v>
      </c>
      <c r="B6" s="75" t="s">
        <v>139</v>
      </c>
      <c r="C6" s="70" t="s">
        <v>204</v>
      </c>
      <c r="D6" s="57" t="s">
        <v>37</v>
      </c>
      <c r="E6" s="57" t="s">
        <v>37</v>
      </c>
      <c r="F6" s="57" t="s">
        <v>37</v>
      </c>
      <c r="G6" s="57" t="s">
        <v>37</v>
      </c>
      <c r="H6" s="57" t="s">
        <v>37</v>
      </c>
      <c r="I6" s="57" t="s">
        <v>42</v>
      </c>
      <c r="J6" s="57" t="s">
        <v>39</v>
      </c>
      <c r="K6" s="57" t="s">
        <v>39</v>
      </c>
      <c r="L6" s="57"/>
      <c r="M6" s="57"/>
      <c r="N6" s="57"/>
      <c r="O6" s="64"/>
      <c r="P6" s="56"/>
      <c r="Q6" s="56"/>
      <c r="R6" s="56"/>
      <c r="S6" s="56"/>
      <c r="T6" s="56"/>
      <c r="U6" s="56"/>
      <c r="V6" s="56"/>
      <c r="W6" s="56"/>
    </row>
    <row r="7" spans="1:23" x14ac:dyDescent="0.35">
      <c r="A7" s="41" t="s">
        <v>49</v>
      </c>
      <c r="B7" s="76" t="s">
        <v>139</v>
      </c>
      <c r="C7" s="41" t="s">
        <v>205</v>
      </c>
      <c r="F7" s="43" t="s">
        <v>39</v>
      </c>
    </row>
    <row r="8" spans="1:23" s="61" customFormat="1" x14ac:dyDescent="0.35">
      <c r="A8" s="68" t="s">
        <v>56</v>
      </c>
      <c r="B8" s="77" t="s">
        <v>139</v>
      </c>
      <c r="C8" s="68" t="s">
        <v>206</v>
      </c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5"/>
      <c r="P8" s="59"/>
      <c r="Q8" s="59"/>
      <c r="R8" s="59"/>
      <c r="S8" s="59"/>
      <c r="T8" s="59"/>
      <c r="U8" s="59"/>
      <c r="V8" s="59"/>
      <c r="W8" s="59"/>
    </row>
    <row r="9" spans="1:23" x14ac:dyDescent="0.35">
      <c r="A9" s="41" t="s">
        <v>149</v>
      </c>
      <c r="B9" s="76" t="s">
        <v>139</v>
      </c>
      <c r="C9" s="41" t="s">
        <v>200</v>
      </c>
      <c r="D9" s="43" t="s">
        <v>150</v>
      </c>
      <c r="E9" s="43" t="s">
        <v>150</v>
      </c>
      <c r="F9" s="43" t="s">
        <v>150</v>
      </c>
      <c r="G9" s="43" t="s">
        <v>151</v>
      </c>
      <c r="H9" s="43" t="s">
        <v>150</v>
      </c>
      <c r="I9" s="43" t="s">
        <v>151</v>
      </c>
      <c r="J9" s="43" t="s">
        <v>151</v>
      </c>
      <c r="K9" s="43" t="s">
        <v>151</v>
      </c>
    </row>
    <row r="10" spans="1:23" x14ac:dyDescent="0.35">
      <c r="A10" s="41" t="s">
        <v>62</v>
      </c>
      <c r="B10" s="76" t="s">
        <v>63</v>
      </c>
      <c r="C10" s="41" t="s">
        <v>199</v>
      </c>
      <c r="D10" s="43">
        <v>0.19800000000000001</v>
      </c>
      <c r="E10" s="43">
        <v>0</v>
      </c>
      <c r="F10" s="43">
        <v>0.01</v>
      </c>
      <c r="G10" s="43">
        <v>0</v>
      </c>
      <c r="H10" s="43">
        <v>0</v>
      </c>
      <c r="I10" s="43">
        <v>0</v>
      </c>
      <c r="J10" s="43">
        <v>0</v>
      </c>
      <c r="K10" s="43">
        <v>0.19800000000000001</v>
      </c>
    </row>
    <row r="11" spans="1:23" x14ac:dyDescent="0.35">
      <c r="A11" s="41" t="s">
        <v>61</v>
      </c>
      <c r="B11" s="76" t="s">
        <v>65</v>
      </c>
      <c r="C11" s="41" t="s">
        <v>57</v>
      </c>
    </row>
    <row r="12" spans="1:23" s="55" customFormat="1" ht="18.600000000000001" thickBot="1" x14ac:dyDescent="0.4">
      <c r="A12" s="72" t="s">
        <v>98</v>
      </c>
      <c r="B12" s="79" t="s">
        <v>99</v>
      </c>
      <c r="C12" s="72" t="s">
        <v>100</v>
      </c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73"/>
      <c r="P12" s="53"/>
      <c r="Q12" s="53"/>
      <c r="R12" s="53"/>
      <c r="S12" s="53"/>
      <c r="T12" s="53"/>
      <c r="U12" s="53"/>
      <c r="V12" s="53"/>
      <c r="W12" s="53"/>
    </row>
    <row r="13" spans="1:23" s="40" customFormat="1" ht="21.6" thickBot="1" x14ac:dyDescent="0.45">
      <c r="A13" s="80" t="s">
        <v>111</v>
      </c>
      <c r="B13" s="74" t="s">
        <v>237</v>
      </c>
      <c r="C13" s="39" t="s">
        <v>189</v>
      </c>
      <c r="D13" s="103" t="b">
        <v>0</v>
      </c>
      <c r="E13" s="103" t="b">
        <v>0</v>
      </c>
      <c r="F13" s="103" t="b">
        <v>0</v>
      </c>
      <c r="G13" s="103" t="b">
        <v>0</v>
      </c>
      <c r="H13" s="103" t="b">
        <v>0</v>
      </c>
      <c r="I13" s="103" t="b">
        <v>0</v>
      </c>
      <c r="J13" s="103" t="b">
        <v>0</v>
      </c>
      <c r="K13" s="103" t="b">
        <v>0</v>
      </c>
      <c r="L13" s="4"/>
      <c r="M13" s="4"/>
      <c r="N13" s="4"/>
      <c r="O13" s="69"/>
      <c r="P13" s="45"/>
      <c r="Q13" s="45"/>
      <c r="R13" s="45"/>
      <c r="S13" s="45"/>
      <c r="T13" s="45"/>
      <c r="U13" s="45"/>
      <c r="V13" s="45"/>
      <c r="W13" s="45"/>
    </row>
    <row r="14" spans="1:23" x14ac:dyDescent="0.35">
      <c r="A14" s="41" t="s">
        <v>122</v>
      </c>
      <c r="B14" s="76" t="s">
        <v>127</v>
      </c>
      <c r="C14" s="41" t="s">
        <v>126</v>
      </c>
      <c r="D14" s="43">
        <v>600000</v>
      </c>
      <c r="E14" s="43">
        <v>2500000</v>
      </c>
      <c r="F14" s="43">
        <v>350000</v>
      </c>
      <c r="G14" s="43">
        <v>1000</v>
      </c>
      <c r="H14" s="43">
        <v>12000</v>
      </c>
      <c r="I14" s="43">
        <v>50000</v>
      </c>
      <c r="J14" s="43">
        <v>6000</v>
      </c>
      <c r="K14" s="43">
        <v>4500</v>
      </c>
    </row>
    <row r="15" spans="1:23" x14ac:dyDescent="0.35">
      <c r="A15" s="41" t="s">
        <v>123</v>
      </c>
      <c r="B15" s="76" t="s">
        <v>12</v>
      </c>
      <c r="C15" s="41" t="s">
        <v>125</v>
      </c>
      <c r="D15" s="43" t="s">
        <v>210</v>
      </c>
      <c r="E15" s="43" t="s">
        <v>209</v>
      </c>
      <c r="F15" s="43" t="s">
        <v>207</v>
      </c>
      <c r="G15" s="43" t="s">
        <v>215</v>
      </c>
      <c r="H15" s="43" t="s">
        <v>214</v>
      </c>
      <c r="I15" s="43" t="s">
        <v>213</v>
      </c>
      <c r="J15" s="43" t="s">
        <v>210</v>
      </c>
      <c r="K15" s="43" t="s">
        <v>210</v>
      </c>
    </row>
    <row r="16" spans="1:23" x14ac:dyDescent="0.35">
      <c r="A16" s="41" t="s">
        <v>124</v>
      </c>
      <c r="B16" s="76" t="s">
        <v>12</v>
      </c>
      <c r="C16" s="41" t="s">
        <v>188</v>
      </c>
      <c r="D16" s="43" t="s">
        <v>210</v>
      </c>
      <c r="E16" s="43" t="s">
        <v>209</v>
      </c>
      <c r="F16" s="43" t="s">
        <v>207</v>
      </c>
      <c r="G16" s="43" t="s">
        <v>215</v>
      </c>
      <c r="H16" s="43" t="s">
        <v>214</v>
      </c>
      <c r="I16" s="43" t="s">
        <v>213</v>
      </c>
      <c r="J16" s="43" t="s">
        <v>210</v>
      </c>
      <c r="K16" s="43" t="s">
        <v>210</v>
      </c>
    </row>
    <row r="17" spans="1:23" x14ac:dyDescent="0.35">
      <c r="A17" s="41" t="s">
        <v>128</v>
      </c>
      <c r="B17" s="76" t="s">
        <v>139</v>
      </c>
      <c r="C17" s="41" t="s">
        <v>129</v>
      </c>
      <c r="D17" s="43" t="s">
        <v>130</v>
      </c>
      <c r="E17" s="43" t="s">
        <v>130</v>
      </c>
      <c r="F17" s="43" t="s">
        <v>130</v>
      </c>
      <c r="G17" s="43" t="s">
        <v>131</v>
      </c>
      <c r="H17" s="43" t="s">
        <v>131</v>
      </c>
      <c r="I17" s="43" t="s">
        <v>131</v>
      </c>
      <c r="J17" s="43" t="s">
        <v>130</v>
      </c>
      <c r="K17" s="43" t="s">
        <v>130</v>
      </c>
    </row>
    <row r="18" spans="1:23" s="58" customFormat="1" x14ac:dyDescent="0.35">
      <c r="A18" s="67" t="s">
        <v>132</v>
      </c>
      <c r="B18" s="75" t="s">
        <v>238</v>
      </c>
      <c r="C18" s="127" t="s">
        <v>136</v>
      </c>
      <c r="D18" s="57">
        <v>0.02</v>
      </c>
      <c r="E18" s="57">
        <v>0.05</v>
      </c>
      <c r="F18" s="57"/>
      <c r="G18" s="57">
        <v>0.1</v>
      </c>
      <c r="H18" s="57">
        <v>0.08</v>
      </c>
      <c r="I18" s="57">
        <v>0.15</v>
      </c>
      <c r="J18" s="57">
        <v>0.08</v>
      </c>
      <c r="K18" s="57">
        <v>0.04</v>
      </c>
      <c r="L18" s="57"/>
      <c r="M18" s="57"/>
      <c r="N18" s="57"/>
      <c r="O18" s="64"/>
      <c r="P18" s="56"/>
      <c r="Q18" s="56"/>
      <c r="R18" s="56"/>
      <c r="S18" s="56"/>
      <c r="T18" s="56"/>
      <c r="U18" s="56"/>
      <c r="V18" s="56"/>
      <c r="W18" s="56"/>
    </row>
    <row r="19" spans="1:23" x14ac:dyDescent="0.35">
      <c r="A19" s="41" t="s">
        <v>133</v>
      </c>
      <c r="B19" s="76" t="s">
        <v>127</v>
      </c>
      <c r="C19" s="41" t="s">
        <v>138</v>
      </c>
      <c r="D19" s="43">
        <v>20000</v>
      </c>
      <c r="E19" s="43">
        <v>250000</v>
      </c>
      <c r="G19" s="43">
        <v>20</v>
      </c>
      <c r="H19" s="43">
        <v>400</v>
      </c>
      <c r="I19" s="43">
        <v>4000</v>
      </c>
      <c r="J19" s="43">
        <v>100</v>
      </c>
      <c r="K19" s="43">
        <v>400</v>
      </c>
    </row>
    <row r="20" spans="1:23" x14ac:dyDescent="0.35">
      <c r="A20" s="41" t="s">
        <v>134</v>
      </c>
      <c r="B20" s="76" t="s">
        <v>12</v>
      </c>
      <c r="C20" s="41" t="s">
        <v>137</v>
      </c>
      <c r="D20" s="43" t="s">
        <v>211</v>
      </c>
      <c r="E20" s="43" t="s">
        <v>24</v>
      </c>
      <c r="G20" s="43" t="s">
        <v>176</v>
      </c>
      <c r="H20" s="43" t="s">
        <v>211</v>
      </c>
      <c r="I20" s="43" t="s">
        <v>212</v>
      </c>
      <c r="J20" s="43" t="s">
        <v>176</v>
      </c>
      <c r="K20" s="43" t="s">
        <v>176</v>
      </c>
    </row>
    <row r="21" spans="1:23" s="55" customFormat="1" ht="18.600000000000001" thickBot="1" x14ac:dyDescent="0.4">
      <c r="A21" s="55" t="s">
        <v>140</v>
      </c>
      <c r="B21" s="79" t="s">
        <v>12</v>
      </c>
      <c r="C21" s="72" t="s">
        <v>135</v>
      </c>
      <c r="D21" s="54" t="s">
        <v>211</v>
      </c>
      <c r="E21" s="54" t="s">
        <v>208</v>
      </c>
      <c r="F21" s="54"/>
      <c r="G21" s="54" t="s">
        <v>176</v>
      </c>
      <c r="H21" s="54" t="s">
        <v>211</v>
      </c>
      <c r="I21" s="54" t="s">
        <v>208</v>
      </c>
      <c r="J21" s="54" t="s">
        <v>176</v>
      </c>
      <c r="K21" s="54" t="s">
        <v>176</v>
      </c>
      <c r="L21" s="54"/>
      <c r="M21" s="54"/>
      <c r="N21" s="54"/>
      <c r="O21" s="73"/>
      <c r="P21" s="53"/>
      <c r="Q21" s="53"/>
      <c r="R21" s="53"/>
      <c r="S21" s="53"/>
      <c r="T21" s="53"/>
      <c r="U21" s="53"/>
      <c r="V21" s="53"/>
      <c r="W21" s="53"/>
    </row>
    <row r="22" spans="1:23" s="85" customFormat="1" ht="21.6" thickBot="1" x14ac:dyDescent="0.45">
      <c r="A22" s="80" t="s">
        <v>67</v>
      </c>
      <c r="B22" s="81"/>
      <c r="C22" s="152"/>
      <c r="D22" s="82" t="str">
        <f t="shared" ref="D22:K22" si="0">IF(OR(COUNTA(D23:D31)&gt;0,COUNTA(D3:D5)=0), "OK", "Fill efficiency")</f>
        <v>OK</v>
      </c>
      <c r="E22" s="82" t="str">
        <f t="shared" si="0"/>
        <v>OK</v>
      </c>
      <c r="F22" s="82" t="str">
        <f t="shared" si="0"/>
        <v>OK</v>
      </c>
      <c r="G22" s="82" t="str">
        <f t="shared" si="0"/>
        <v>OK</v>
      </c>
      <c r="H22" s="82" t="str">
        <f t="shared" si="0"/>
        <v>OK</v>
      </c>
      <c r="I22" s="82" t="str">
        <f t="shared" si="0"/>
        <v>Fill efficiency</v>
      </c>
      <c r="J22" s="82" t="str">
        <f t="shared" si="0"/>
        <v>OK</v>
      </c>
      <c r="K22" s="82" t="str">
        <f t="shared" si="0"/>
        <v>OK</v>
      </c>
      <c r="L22" s="82"/>
      <c r="M22" s="82"/>
      <c r="N22" s="82"/>
      <c r="O22" s="83"/>
      <c r="P22" s="84"/>
      <c r="Q22" s="84"/>
      <c r="R22" s="84"/>
      <c r="S22" s="84"/>
      <c r="T22" s="84"/>
      <c r="U22" s="84"/>
      <c r="V22" s="84"/>
      <c r="W22" s="84"/>
    </row>
    <row r="23" spans="1:23" s="52" customFormat="1" x14ac:dyDescent="0.35">
      <c r="A23" s="70" t="s">
        <v>97</v>
      </c>
      <c r="B23" s="147" t="s">
        <v>66</v>
      </c>
      <c r="C23" s="125" t="s">
        <v>190</v>
      </c>
      <c r="D23" s="149">
        <v>0.6</v>
      </c>
      <c r="E23" s="86"/>
      <c r="F23" s="86">
        <v>0.35</v>
      </c>
      <c r="G23" s="86"/>
      <c r="H23" s="86"/>
      <c r="I23" s="86"/>
      <c r="J23" s="86">
        <v>3</v>
      </c>
      <c r="K23" s="86">
        <v>0.98</v>
      </c>
      <c r="L23" s="86"/>
      <c r="M23" s="86"/>
      <c r="N23" s="51"/>
      <c r="O23" s="71"/>
      <c r="P23" s="50"/>
      <c r="Q23" s="50"/>
      <c r="R23" s="50"/>
      <c r="S23" s="50"/>
      <c r="T23" s="50"/>
      <c r="U23" s="50"/>
      <c r="V23" s="50"/>
      <c r="W23" s="50"/>
    </row>
    <row r="24" spans="1:23" x14ac:dyDescent="0.35">
      <c r="A24" s="41" t="s">
        <v>70</v>
      </c>
      <c r="B24" s="146" t="s">
        <v>66</v>
      </c>
      <c r="C24" s="126" t="s">
        <v>191</v>
      </c>
      <c r="D24" s="150"/>
      <c r="E24" s="87"/>
      <c r="F24" s="87">
        <v>0.4</v>
      </c>
      <c r="G24" s="87"/>
      <c r="H24" s="87"/>
      <c r="I24" s="87"/>
      <c r="J24" s="87"/>
      <c r="K24" s="87"/>
      <c r="L24" s="87"/>
      <c r="M24" s="87"/>
    </row>
    <row r="25" spans="1:23" x14ac:dyDescent="0.35">
      <c r="A25" s="41" t="s">
        <v>71</v>
      </c>
      <c r="B25" s="146" t="s">
        <v>66</v>
      </c>
      <c r="C25" s="126" t="s">
        <v>192</v>
      </c>
      <c r="D25" s="150"/>
      <c r="E25" s="87"/>
      <c r="F25" s="87"/>
      <c r="G25" s="87"/>
      <c r="H25" s="87"/>
      <c r="I25" s="87"/>
      <c r="J25" s="87"/>
      <c r="K25" s="87"/>
      <c r="L25" s="87"/>
      <c r="M25" s="87"/>
    </row>
    <row r="26" spans="1:23" x14ac:dyDescent="0.35">
      <c r="A26" s="41" t="s">
        <v>72</v>
      </c>
      <c r="B26" s="146" t="s">
        <v>66</v>
      </c>
      <c r="C26" s="126" t="s">
        <v>193</v>
      </c>
      <c r="D26" s="150"/>
      <c r="E26" s="87"/>
      <c r="F26" s="87"/>
      <c r="G26" s="87"/>
      <c r="H26" s="87"/>
      <c r="I26" s="87"/>
      <c r="J26" s="87"/>
      <c r="K26" s="87"/>
      <c r="L26" s="87"/>
      <c r="M26" s="87"/>
    </row>
    <row r="27" spans="1:23" x14ac:dyDescent="0.35">
      <c r="A27" s="41" t="s">
        <v>73</v>
      </c>
      <c r="B27" s="146" t="s">
        <v>66</v>
      </c>
      <c r="C27" s="126" t="s">
        <v>194</v>
      </c>
      <c r="D27" s="150"/>
      <c r="E27" s="87"/>
      <c r="F27" s="87"/>
      <c r="G27" s="87"/>
      <c r="H27" s="87"/>
      <c r="I27" s="87"/>
      <c r="J27" s="87"/>
      <c r="K27" s="87"/>
      <c r="L27" s="87"/>
      <c r="M27" s="87"/>
    </row>
    <row r="28" spans="1:23" x14ac:dyDescent="0.35">
      <c r="A28" s="41" t="s">
        <v>74</v>
      </c>
      <c r="B28" s="146" t="s">
        <v>66</v>
      </c>
      <c r="C28" s="126" t="s">
        <v>195</v>
      </c>
      <c r="D28" s="150"/>
      <c r="E28" s="87"/>
      <c r="F28" s="87"/>
      <c r="G28" s="87"/>
      <c r="H28" s="87"/>
      <c r="I28" s="87"/>
      <c r="J28" s="87"/>
      <c r="K28" s="87"/>
      <c r="L28" s="87"/>
      <c r="M28" s="87"/>
    </row>
    <row r="29" spans="1:23" x14ac:dyDescent="0.35">
      <c r="A29" s="41" t="s">
        <v>75</v>
      </c>
      <c r="B29" s="146" t="s">
        <v>66</v>
      </c>
      <c r="C29" s="126" t="s">
        <v>196</v>
      </c>
      <c r="D29" s="150"/>
      <c r="E29" s="87"/>
      <c r="F29" s="87"/>
      <c r="G29" s="87"/>
      <c r="H29" s="87"/>
      <c r="I29" s="87"/>
      <c r="J29" s="87"/>
      <c r="K29" s="87"/>
      <c r="L29" s="87"/>
      <c r="M29" s="87"/>
    </row>
    <row r="30" spans="1:23" x14ac:dyDescent="0.35">
      <c r="A30" s="41" t="s">
        <v>76</v>
      </c>
      <c r="B30" s="146" t="s">
        <v>66</v>
      </c>
      <c r="C30" s="126" t="s">
        <v>197</v>
      </c>
      <c r="D30" s="150"/>
      <c r="E30" s="87"/>
      <c r="F30" s="87"/>
      <c r="G30" s="87"/>
      <c r="H30" s="87"/>
      <c r="I30" s="87"/>
      <c r="J30" s="87"/>
      <c r="K30" s="87"/>
      <c r="L30" s="87"/>
      <c r="M30" s="87"/>
    </row>
    <row r="31" spans="1:23" s="55" customFormat="1" ht="18.600000000000001" thickBot="1" x14ac:dyDescent="0.4">
      <c r="A31" s="72" t="s">
        <v>77</v>
      </c>
      <c r="B31" s="148" t="s">
        <v>66</v>
      </c>
      <c r="C31" s="128" t="s">
        <v>198</v>
      </c>
      <c r="D31" s="151"/>
      <c r="E31" s="88"/>
      <c r="F31" s="88"/>
      <c r="G31" s="88"/>
      <c r="H31" s="88"/>
      <c r="I31" s="88"/>
      <c r="J31" s="88"/>
      <c r="K31" s="88"/>
      <c r="L31" s="88"/>
      <c r="M31" s="88"/>
      <c r="N31" s="54"/>
      <c r="O31" s="73"/>
      <c r="P31" s="53"/>
      <c r="Q31" s="53"/>
      <c r="R31" s="53"/>
      <c r="S31" s="53"/>
      <c r="T31" s="53"/>
      <c r="U31" s="53"/>
      <c r="V31" s="53"/>
      <c r="W31" s="53"/>
    </row>
    <row r="32" spans="1:23" s="85" customFormat="1" ht="21.6" thickBot="1" x14ac:dyDescent="0.45">
      <c r="A32" s="80" t="s">
        <v>69</v>
      </c>
      <c r="B32" s="81"/>
      <c r="C32" s="154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3"/>
      <c r="P32" s="84"/>
      <c r="Q32" s="84"/>
      <c r="R32" s="84"/>
      <c r="S32" s="84"/>
      <c r="T32" s="84"/>
      <c r="U32" s="84"/>
      <c r="V32" s="84"/>
      <c r="W32" s="84"/>
    </row>
    <row r="33" spans="1:23" s="52" customFormat="1" x14ac:dyDescent="0.35">
      <c r="A33" s="70" t="s">
        <v>78</v>
      </c>
      <c r="B33" s="147" t="s">
        <v>64</v>
      </c>
      <c r="C33" s="70" t="s">
        <v>239</v>
      </c>
      <c r="D33" s="137"/>
      <c r="E33" s="51"/>
      <c r="F33" s="51"/>
      <c r="G33" s="51"/>
      <c r="H33" s="51"/>
      <c r="I33" s="51">
        <v>25</v>
      </c>
      <c r="J33" s="51">
        <v>12</v>
      </c>
      <c r="K33" s="51">
        <v>18</v>
      </c>
      <c r="L33" s="51"/>
      <c r="M33" s="51"/>
      <c r="N33" s="51"/>
      <c r="O33" s="71"/>
      <c r="P33" s="50"/>
      <c r="Q33" s="50"/>
      <c r="R33" s="50"/>
      <c r="S33" s="50"/>
      <c r="T33" s="50"/>
      <c r="U33" s="50"/>
      <c r="V33" s="50"/>
      <c r="W33" s="50"/>
    </row>
    <row r="34" spans="1:23" x14ac:dyDescent="0.35">
      <c r="A34" s="41" t="s">
        <v>79</v>
      </c>
      <c r="B34" s="146" t="s">
        <v>64</v>
      </c>
      <c r="C34" s="41" t="s">
        <v>240</v>
      </c>
      <c r="D34" s="113"/>
    </row>
    <row r="35" spans="1:23" x14ac:dyDescent="0.35">
      <c r="A35" s="41" t="s">
        <v>80</v>
      </c>
      <c r="B35" s="146" t="s">
        <v>64</v>
      </c>
      <c r="C35" s="41" t="s">
        <v>241</v>
      </c>
      <c r="D35" s="113"/>
    </row>
    <row r="36" spans="1:23" x14ac:dyDescent="0.35">
      <c r="A36" s="41" t="s">
        <v>81</v>
      </c>
      <c r="B36" s="146" t="s">
        <v>64</v>
      </c>
      <c r="C36" s="41" t="s">
        <v>242</v>
      </c>
      <c r="D36" s="113">
        <v>200</v>
      </c>
      <c r="E36" s="43">
        <v>2500</v>
      </c>
      <c r="F36" s="43">
        <v>150</v>
      </c>
      <c r="G36" s="43">
        <v>1</v>
      </c>
      <c r="H36" s="43">
        <v>10</v>
      </c>
    </row>
    <row r="37" spans="1:23" x14ac:dyDescent="0.35">
      <c r="A37" s="41" t="s">
        <v>82</v>
      </c>
      <c r="B37" s="146" t="s">
        <v>64</v>
      </c>
      <c r="C37" s="41" t="s">
        <v>243</v>
      </c>
      <c r="D37" s="113"/>
    </row>
    <row r="38" spans="1:23" ht="18.600000000000001" thickBot="1" x14ac:dyDescent="0.4">
      <c r="A38" s="41" t="s">
        <v>83</v>
      </c>
      <c r="B38" s="146" t="s">
        <v>64</v>
      </c>
      <c r="C38" s="72" t="s">
        <v>244</v>
      </c>
      <c r="D38" s="113"/>
    </row>
    <row r="39" spans="1:23" s="85" customFormat="1" ht="21.6" thickBot="1" x14ac:dyDescent="0.45">
      <c r="A39" s="80" t="s">
        <v>84</v>
      </c>
      <c r="B39" s="81"/>
      <c r="C39" s="153"/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82"/>
      <c r="O39" s="83"/>
      <c r="P39" s="84"/>
      <c r="Q39" s="84"/>
      <c r="R39" s="84"/>
      <c r="S39" s="84"/>
      <c r="T39" s="84"/>
      <c r="U39" s="84"/>
      <c r="V39" s="84"/>
      <c r="W39" s="84"/>
    </row>
    <row r="40" spans="1:23" x14ac:dyDescent="0.35">
      <c r="A40" s="41" t="s">
        <v>85</v>
      </c>
      <c r="B40" s="76" t="s">
        <v>86</v>
      </c>
      <c r="C40" s="41" t="s">
        <v>90</v>
      </c>
    </row>
    <row r="41" spans="1:23" x14ac:dyDescent="0.35">
      <c r="A41" s="41" t="s">
        <v>87</v>
      </c>
      <c r="B41" s="76" t="s">
        <v>88</v>
      </c>
      <c r="C41" s="41" t="s">
        <v>89</v>
      </c>
    </row>
    <row r="42" spans="1:23" x14ac:dyDescent="0.35">
      <c r="A42" s="41" t="s">
        <v>102</v>
      </c>
      <c r="B42" s="76" t="s">
        <v>12</v>
      </c>
      <c r="C42" s="41" t="s">
        <v>91</v>
      </c>
      <c r="D42" s="43" t="s">
        <v>93</v>
      </c>
      <c r="F42" s="43" t="s">
        <v>94</v>
      </c>
      <c r="I42" s="43" t="s">
        <v>95</v>
      </c>
      <c r="J42" s="43" t="s">
        <v>96</v>
      </c>
    </row>
    <row r="43" spans="1:23" ht="18.600000000000001" thickBot="1" x14ac:dyDescent="0.4">
      <c r="A43" s="41" t="s">
        <v>101</v>
      </c>
      <c r="B43" s="76" t="s">
        <v>12</v>
      </c>
      <c r="C43" s="41" t="s">
        <v>92</v>
      </c>
    </row>
    <row r="44" spans="1:23" s="85" customFormat="1" ht="21.6" thickBot="1" x14ac:dyDescent="0.45">
      <c r="A44" s="80" t="s">
        <v>104</v>
      </c>
      <c r="B44" s="81"/>
      <c r="C44" s="80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3"/>
      <c r="P44" s="84"/>
      <c r="Q44" s="84"/>
      <c r="R44" s="84"/>
      <c r="S44" s="84"/>
      <c r="T44" s="84"/>
      <c r="U44" s="84"/>
      <c r="V44" s="84"/>
      <c r="W44" s="84"/>
    </row>
    <row r="45" spans="1:23" s="52" customFormat="1" x14ac:dyDescent="0.35">
      <c r="A45" s="70" t="s">
        <v>105</v>
      </c>
      <c r="B45" s="78" t="s">
        <v>103</v>
      </c>
      <c r="C45" s="70" t="s">
        <v>245</v>
      </c>
      <c r="D45" s="86">
        <v>0.25</v>
      </c>
      <c r="E45" s="86"/>
      <c r="F45" s="86">
        <v>0.3</v>
      </c>
      <c r="G45" s="86"/>
      <c r="H45" s="86"/>
      <c r="I45" s="86"/>
      <c r="J45" s="86"/>
      <c r="K45" s="86"/>
      <c r="L45" s="86"/>
      <c r="M45" s="51"/>
      <c r="N45" s="51"/>
      <c r="O45" s="71"/>
      <c r="P45" s="50"/>
      <c r="Q45" s="50"/>
      <c r="R45" s="50"/>
      <c r="S45" s="50"/>
      <c r="T45" s="50"/>
      <c r="U45" s="50"/>
      <c r="V45" s="50"/>
      <c r="W45" s="50"/>
    </row>
    <row r="46" spans="1:23" x14ac:dyDescent="0.35">
      <c r="A46" s="41" t="s">
        <v>106</v>
      </c>
      <c r="B46" s="76" t="s">
        <v>103</v>
      </c>
      <c r="C46" s="41" t="s">
        <v>246</v>
      </c>
      <c r="D46" s="87">
        <v>0.25</v>
      </c>
      <c r="E46" s="87"/>
      <c r="F46" s="87">
        <v>0.3</v>
      </c>
      <c r="G46" s="87"/>
      <c r="H46" s="87"/>
      <c r="I46" s="87"/>
      <c r="J46" s="87"/>
      <c r="K46" s="87"/>
      <c r="L46" s="87"/>
    </row>
    <row r="47" spans="1:23" x14ac:dyDescent="0.35">
      <c r="A47" s="41" t="s">
        <v>107</v>
      </c>
      <c r="B47" s="76" t="s">
        <v>103</v>
      </c>
      <c r="C47" s="41" t="s">
        <v>247</v>
      </c>
      <c r="D47" s="87"/>
      <c r="E47" s="87"/>
      <c r="F47" s="87">
        <v>0.5</v>
      </c>
      <c r="G47" s="87"/>
      <c r="H47" s="87"/>
      <c r="I47" s="87"/>
      <c r="J47" s="87"/>
      <c r="K47" s="87"/>
      <c r="L47" s="87"/>
    </row>
    <row r="48" spans="1:23" x14ac:dyDescent="0.35">
      <c r="A48" s="41" t="s">
        <v>108</v>
      </c>
      <c r="B48" s="76" t="s">
        <v>103</v>
      </c>
      <c r="C48" s="41" t="s">
        <v>248</v>
      </c>
      <c r="D48" s="87"/>
      <c r="E48" s="87"/>
      <c r="F48" s="87">
        <v>0.5</v>
      </c>
      <c r="G48" s="87"/>
      <c r="H48" s="87"/>
      <c r="I48" s="87"/>
      <c r="J48" s="87"/>
      <c r="K48" s="87"/>
      <c r="L48" s="87"/>
    </row>
    <row r="49" spans="1:23" x14ac:dyDescent="0.35">
      <c r="A49" s="41" t="s">
        <v>109</v>
      </c>
      <c r="B49" s="76" t="s">
        <v>103</v>
      </c>
      <c r="C49" s="41" t="s">
        <v>249</v>
      </c>
      <c r="D49" s="87"/>
      <c r="E49" s="87"/>
      <c r="F49" s="87"/>
      <c r="G49" s="87"/>
      <c r="H49" s="87"/>
      <c r="I49" s="87"/>
      <c r="J49" s="87"/>
      <c r="K49" s="87"/>
      <c r="L49" s="87"/>
    </row>
    <row r="50" spans="1:23" s="55" customFormat="1" ht="18.600000000000001" thickBot="1" x14ac:dyDescent="0.4">
      <c r="A50" s="72" t="s">
        <v>110</v>
      </c>
      <c r="B50" s="79" t="s">
        <v>103</v>
      </c>
      <c r="C50" s="72" t="s">
        <v>250</v>
      </c>
      <c r="D50" s="88"/>
      <c r="E50" s="88"/>
      <c r="F50" s="88"/>
      <c r="G50" s="88"/>
      <c r="H50" s="88"/>
      <c r="I50" s="88"/>
      <c r="J50" s="88"/>
      <c r="K50" s="88"/>
      <c r="L50" s="88"/>
      <c r="M50" s="54"/>
      <c r="N50" s="54"/>
      <c r="O50" s="73"/>
      <c r="P50" s="53"/>
      <c r="Q50" s="53"/>
      <c r="R50" s="53"/>
      <c r="S50" s="53"/>
      <c r="T50" s="53"/>
      <c r="U50" s="53"/>
      <c r="V50" s="53"/>
      <c r="W50" s="53"/>
    </row>
  </sheetData>
  <phoneticPr fontId="10" type="noConversion"/>
  <dataValidations count="3">
    <dataValidation type="list" allowBlank="1" showInputMessage="1" showErrorMessage="1" sqref="D17:K17" xr:uid="{763DEF41-5748-45A0-97FF-6561FA4FA8B6}">
      <formula1>"Integer, Continuous"</formula1>
    </dataValidation>
    <dataValidation type="list" allowBlank="1" showInputMessage="1" showErrorMessage="1" sqref="D3:W8" xr:uid="{E046C471-6CFB-4638-9CC8-EB4B4ED26016}">
      <formula1>Commodities_named</formula1>
    </dataValidation>
    <dataValidation type="list" allowBlank="1" showInputMessage="1" showErrorMessage="1" sqref="D9:W9" xr:uid="{55476DC0-E3F4-4FEC-AD90-8D80FB006D42}">
      <formula1>"Building level, District level"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464BF-A757-423E-98D5-5BF46F0B99A6}">
  <sheetPr codeName="Sheet5"/>
  <dimension ref="A1:M6"/>
  <sheetViews>
    <sheetView zoomScale="95" zoomScaleNormal="115" workbookViewId="0">
      <selection activeCell="E2" sqref="E2"/>
    </sheetView>
  </sheetViews>
  <sheetFormatPr defaultRowHeight="18" x14ac:dyDescent="0.35"/>
  <cols>
    <col min="1" max="1" width="25.77734375" style="42" customWidth="1"/>
    <col min="2" max="13" width="25.77734375" style="43" customWidth="1"/>
    <col min="14" max="16384" width="8.88671875" style="44"/>
  </cols>
  <sheetData>
    <row r="1" spans="1:13" s="48" customFormat="1" ht="18.600000000000001" thickBot="1" x14ac:dyDescent="0.4">
      <c r="A1" s="46" t="s">
        <v>36</v>
      </c>
      <c r="B1" s="47">
        <v>1</v>
      </c>
      <c r="C1" s="47">
        <v>2</v>
      </c>
      <c r="D1" s="47">
        <v>3</v>
      </c>
      <c r="E1" s="47">
        <v>4</v>
      </c>
      <c r="F1" s="47">
        <v>5</v>
      </c>
      <c r="G1" s="47">
        <v>6</v>
      </c>
      <c r="H1" s="47">
        <v>7</v>
      </c>
      <c r="I1" s="47">
        <v>8</v>
      </c>
      <c r="J1" s="47">
        <v>9</v>
      </c>
      <c r="K1" s="47">
        <v>10</v>
      </c>
      <c r="L1" s="47">
        <v>11</v>
      </c>
      <c r="M1" s="47">
        <v>12</v>
      </c>
    </row>
    <row r="2" spans="1:13" x14ac:dyDescent="0.35">
      <c r="A2" s="41" t="s">
        <v>5</v>
      </c>
      <c r="B2" s="43" t="s">
        <v>251</v>
      </c>
      <c r="C2" s="43" t="s">
        <v>252</v>
      </c>
      <c r="D2" s="43" t="s">
        <v>253</v>
      </c>
      <c r="E2" s="43" t="s">
        <v>254</v>
      </c>
    </row>
    <row r="3" spans="1:13" x14ac:dyDescent="0.35">
      <c r="A3" s="41" t="s">
        <v>26</v>
      </c>
      <c r="B3" s="43" t="s">
        <v>32</v>
      </c>
      <c r="C3" s="43" t="s">
        <v>33</v>
      </c>
      <c r="D3" s="43" t="s">
        <v>33</v>
      </c>
      <c r="E3" s="43" t="s">
        <v>32</v>
      </c>
    </row>
    <row r="4" spans="1:13" x14ac:dyDescent="0.35">
      <c r="A4" s="41" t="s">
        <v>27</v>
      </c>
      <c r="B4" s="43" t="s">
        <v>234</v>
      </c>
      <c r="C4" s="43" t="s">
        <v>234</v>
      </c>
      <c r="D4" s="43" t="s">
        <v>235</v>
      </c>
      <c r="E4" s="43" t="s">
        <v>236</v>
      </c>
    </row>
    <row r="5" spans="1:13" x14ac:dyDescent="0.35">
      <c r="A5" s="42" t="s">
        <v>147</v>
      </c>
      <c r="B5" s="49" t="b">
        <v>0</v>
      </c>
      <c r="C5" s="49" t="b">
        <v>0</v>
      </c>
      <c r="D5" s="49" t="b">
        <v>0</v>
      </c>
      <c r="E5" s="49" t="b">
        <v>1</v>
      </c>
      <c r="F5" s="49" t="b">
        <v>0</v>
      </c>
      <c r="G5" s="49" t="b">
        <v>0</v>
      </c>
      <c r="H5" s="49" t="b">
        <v>0</v>
      </c>
      <c r="I5" s="49" t="b">
        <v>0</v>
      </c>
      <c r="J5" s="49" t="b">
        <v>0</v>
      </c>
      <c r="K5" s="49" t="b">
        <v>0</v>
      </c>
      <c r="L5" s="49" t="b">
        <v>0</v>
      </c>
      <c r="M5" s="49" t="b">
        <v>0</v>
      </c>
    </row>
    <row r="6" spans="1:13" x14ac:dyDescent="0.35">
      <c r="A6" s="42" t="s">
        <v>232</v>
      </c>
      <c r="B6" s="43" t="s">
        <v>233</v>
      </c>
      <c r="C6" s="43" t="s">
        <v>233</v>
      </c>
      <c r="D6" s="43" t="s">
        <v>37</v>
      </c>
      <c r="E6" s="43" t="s">
        <v>233</v>
      </c>
    </row>
  </sheetData>
  <phoneticPr fontId="10" type="noConversion"/>
  <dataValidations count="3">
    <dataValidation type="list" allowBlank="1" showInputMessage="1" showErrorMessage="1" sqref="B3:M3" xr:uid="{5E0E1C54-A072-4A38-9977-074222694AD2}">
      <formula1>"Single Family,Multi Families"</formula1>
    </dataValidation>
    <dataValidation type="list" allowBlank="1" showInputMessage="1" showErrorMessage="1" sqref="B6:M6" xr:uid="{7CE8EF60-7989-4E59-8830-BD1284F909E2}">
      <formula1>Commodities_named</formula1>
    </dataValidation>
    <dataValidation type="list" allowBlank="1" showInputMessage="1" showErrorMessage="1" sqref="B4:M4" xr:uid="{4E2F9C54-6022-46F4-972A-5FDC5B2B2260}">
      <formula1>"&lt;1945,1945-1960,1961-1985,1986-2010,&gt;2010"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61C96-2833-4124-A380-BF3B72D234E8}">
  <sheetPr codeName="Sheet3"/>
  <dimension ref="A1:AO92"/>
  <sheetViews>
    <sheetView zoomScaleNormal="100" workbookViewId="0">
      <selection activeCell="N4" sqref="N4:O4"/>
    </sheetView>
  </sheetViews>
  <sheetFormatPr defaultRowHeight="14.4" x14ac:dyDescent="0.3"/>
  <cols>
    <col min="1" max="1" width="15.5546875" style="37" bestFit="1" customWidth="1"/>
    <col min="2" max="2" width="15.21875" style="93" bestFit="1" customWidth="1"/>
    <col min="3" max="3" width="8.88671875" style="89"/>
    <col min="4" max="4" width="15.21875" style="93" bestFit="1" customWidth="1"/>
    <col min="5" max="5" width="8.88671875" style="89"/>
    <col min="6" max="6" width="8.88671875" style="93"/>
    <col min="7" max="7" width="8.88671875" style="89"/>
    <col min="8" max="8" width="8.88671875" style="93"/>
    <col min="9" max="9" width="8.88671875" style="89"/>
    <col min="10" max="10" width="8.88671875" style="93"/>
    <col min="11" max="11" width="8.88671875" style="89"/>
    <col min="12" max="12" width="8.88671875" style="93"/>
    <col min="13" max="13" width="8.88671875" style="89"/>
    <col min="14" max="14" width="8.88671875" style="93"/>
    <col min="15" max="15" width="8.88671875" style="89"/>
    <col min="16" max="16" width="8.88671875" style="93"/>
    <col min="17" max="17" width="8.88671875" style="89"/>
    <col min="18" max="18" width="8.88671875" style="93"/>
    <col min="19" max="19" width="8.88671875" style="89"/>
    <col min="20" max="20" width="8.88671875" style="93"/>
    <col min="21" max="21" width="8.88671875" style="89"/>
    <col min="22" max="22" width="8.88671875" style="93"/>
    <col min="23" max="23" width="8.88671875" style="89"/>
    <col min="24" max="24" width="8.88671875" style="93"/>
    <col min="25" max="25" width="8.88671875" style="89"/>
    <col min="26" max="26" width="8.88671875" style="118"/>
    <col min="27" max="27" width="8.88671875" style="89"/>
    <col min="28" max="28" width="8.88671875" style="93"/>
    <col min="29" max="29" width="8.88671875" style="89"/>
    <col min="30" max="30" width="8.88671875" style="93"/>
    <col min="31" max="31" width="8.88671875" style="89"/>
    <col min="32" max="32" width="8.88671875" style="93"/>
    <col min="33" max="33" width="8.88671875" style="89"/>
    <col min="34" max="34" width="8.88671875" style="93"/>
    <col min="35" max="35" width="8.88671875" style="89"/>
    <col min="36" max="36" width="8.88671875" style="93"/>
    <col min="37" max="37" width="8.88671875" style="89"/>
    <col min="38" max="38" width="8.88671875" style="93"/>
    <col min="39" max="39" width="8.88671875" style="89"/>
    <col min="40" max="40" width="8.88671875" style="93"/>
    <col min="41" max="41" width="8.88671875" style="89"/>
  </cols>
  <sheetData>
    <row r="1" spans="1:41" ht="15" thickBot="1" x14ac:dyDescent="0.35">
      <c r="A1" s="38"/>
      <c r="B1" s="186">
        <v>1</v>
      </c>
      <c r="C1" s="187"/>
      <c r="D1" s="186">
        <v>2</v>
      </c>
      <c r="E1" s="187"/>
      <c r="F1" s="186">
        <v>3</v>
      </c>
      <c r="G1" s="187"/>
      <c r="H1" s="186">
        <v>4</v>
      </c>
      <c r="I1" s="187"/>
      <c r="J1" s="186">
        <v>5</v>
      </c>
      <c r="K1" s="187"/>
      <c r="L1" s="186">
        <v>6</v>
      </c>
      <c r="M1" s="187"/>
      <c r="N1" s="186">
        <v>7</v>
      </c>
      <c r="O1" s="187"/>
      <c r="P1" s="186">
        <v>8</v>
      </c>
      <c r="Q1" s="187"/>
      <c r="R1" s="186">
        <v>9</v>
      </c>
      <c r="S1" s="187"/>
      <c r="T1" s="186">
        <v>10</v>
      </c>
      <c r="U1" s="187"/>
      <c r="V1" s="186">
        <v>11</v>
      </c>
      <c r="W1" s="187"/>
      <c r="X1" s="186">
        <v>12</v>
      </c>
      <c r="Y1" s="187"/>
      <c r="Z1" s="181">
        <v>13</v>
      </c>
      <c r="AA1" s="182"/>
      <c r="AB1" s="181">
        <v>14</v>
      </c>
      <c r="AC1" s="182"/>
      <c r="AD1" s="181">
        <v>15</v>
      </c>
      <c r="AE1" s="182"/>
      <c r="AF1" s="181">
        <v>16</v>
      </c>
      <c r="AG1" s="182"/>
      <c r="AH1" s="181">
        <v>17</v>
      </c>
      <c r="AI1" s="182"/>
      <c r="AJ1" s="181">
        <v>18</v>
      </c>
      <c r="AK1" s="182"/>
      <c r="AL1" s="181">
        <v>19</v>
      </c>
      <c r="AM1" s="182"/>
      <c r="AN1" s="181">
        <v>20</v>
      </c>
      <c r="AO1" s="182"/>
    </row>
    <row r="2" spans="1:41" s="90" customFormat="1" x14ac:dyDescent="0.3">
      <c r="A2" s="38" t="s">
        <v>26</v>
      </c>
      <c r="B2" s="186" t="s">
        <v>116</v>
      </c>
      <c r="C2" s="187"/>
      <c r="D2" s="186" t="s">
        <v>117</v>
      </c>
      <c r="E2" s="187"/>
      <c r="F2" s="186" t="s">
        <v>116</v>
      </c>
      <c r="G2" s="187"/>
      <c r="H2" s="186" t="s">
        <v>116</v>
      </c>
      <c r="I2" s="187"/>
      <c r="J2" s="186" t="s">
        <v>118</v>
      </c>
      <c r="K2" s="187"/>
      <c r="L2" s="186" t="s">
        <v>118</v>
      </c>
      <c r="M2" s="187"/>
      <c r="N2" s="186" t="s">
        <v>118</v>
      </c>
      <c r="O2" s="187"/>
      <c r="P2" s="186" t="s">
        <v>119</v>
      </c>
      <c r="Q2" s="187"/>
      <c r="R2" s="186" t="s">
        <v>119</v>
      </c>
      <c r="S2" s="187"/>
      <c r="T2" s="186" t="s">
        <v>119</v>
      </c>
      <c r="U2" s="187"/>
      <c r="V2" s="186"/>
      <c r="W2" s="187"/>
      <c r="X2" s="186"/>
      <c r="Y2" s="187"/>
      <c r="Z2" s="183"/>
      <c r="AA2" s="183"/>
      <c r="AB2" s="183"/>
      <c r="AC2" s="183"/>
      <c r="AD2" s="183"/>
      <c r="AE2" s="183"/>
      <c r="AF2" s="183"/>
      <c r="AG2" s="183"/>
      <c r="AH2" s="183"/>
      <c r="AI2" s="183"/>
      <c r="AJ2" s="183"/>
      <c r="AK2" s="183"/>
      <c r="AL2" s="183"/>
      <c r="AM2" s="183"/>
      <c r="AN2" s="183"/>
      <c r="AO2" s="183"/>
    </row>
    <row r="3" spans="1:41" x14ac:dyDescent="0.3">
      <c r="A3" s="37" t="s">
        <v>112</v>
      </c>
      <c r="B3" s="181" t="s">
        <v>37</v>
      </c>
      <c r="C3" s="182"/>
      <c r="D3" s="181" t="s">
        <v>37</v>
      </c>
      <c r="E3" s="182"/>
      <c r="F3" s="181" t="s">
        <v>38</v>
      </c>
      <c r="G3" s="182"/>
      <c r="H3" s="181" t="s">
        <v>43</v>
      </c>
      <c r="I3" s="182"/>
      <c r="J3" s="181" t="s">
        <v>37</v>
      </c>
      <c r="K3" s="182"/>
      <c r="L3" s="181" t="s">
        <v>42</v>
      </c>
      <c r="M3" s="182"/>
      <c r="N3" s="181" t="s">
        <v>39</v>
      </c>
      <c r="O3" s="182"/>
      <c r="P3" s="181"/>
      <c r="Q3" s="182"/>
      <c r="R3" s="181"/>
      <c r="S3" s="182"/>
      <c r="T3" s="181"/>
      <c r="U3" s="182"/>
      <c r="V3" s="181"/>
      <c r="W3" s="182"/>
      <c r="X3" s="181"/>
      <c r="Y3" s="182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4"/>
    </row>
    <row r="4" spans="1:41" x14ac:dyDescent="0.3">
      <c r="A4" s="37" t="s">
        <v>154</v>
      </c>
      <c r="B4" s="181"/>
      <c r="C4" s="182"/>
      <c r="D4" s="181"/>
      <c r="E4" s="182"/>
      <c r="F4" s="181"/>
      <c r="G4" s="182"/>
      <c r="H4" s="181"/>
      <c r="I4" s="182"/>
      <c r="J4" s="181"/>
      <c r="K4" s="182"/>
      <c r="L4" s="181"/>
      <c r="M4" s="182"/>
      <c r="N4" s="181" t="s">
        <v>34</v>
      </c>
      <c r="O4" s="182"/>
      <c r="P4" s="181"/>
      <c r="Q4" s="182"/>
      <c r="R4" s="181"/>
      <c r="S4" s="182"/>
      <c r="T4" s="181"/>
      <c r="U4" s="182"/>
      <c r="V4" s="181"/>
      <c r="W4" s="182"/>
      <c r="X4" s="181"/>
      <c r="Y4" s="182"/>
      <c r="Z4" s="184"/>
      <c r="AA4" s="184"/>
      <c r="AB4" s="184"/>
      <c r="AC4" s="184"/>
      <c r="AD4" s="184"/>
      <c r="AE4" s="184"/>
      <c r="AF4" s="184"/>
      <c r="AG4" s="184"/>
      <c r="AH4" s="184"/>
      <c r="AI4" s="184"/>
      <c r="AJ4" s="184"/>
      <c r="AK4" s="184"/>
      <c r="AL4" s="184"/>
      <c r="AM4" s="184"/>
      <c r="AN4" s="184"/>
      <c r="AO4" s="184"/>
    </row>
    <row r="5" spans="1:41" x14ac:dyDescent="0.3">
      <c r="A5" s="37" t="s">
        <v>153</v>
      </c>
      <c r="B5" s="181"/>
      <c r="C5" s="182"/>
      <c r="D5" s="181"/>
      <c r="E5" s="182"/>
      <c r="F5" s="181"/>
      <c r="G5" s="182"/>
      <c r="H5" s="181"/>
      <c r="I5" s="182"/>
      <c r="J5" s="181"/>
      <c r="K5" s="182"/>
      <c r="L5" s="181"/>
      <c r="M5" s="182"/>
      <c r="N5" s="181" t="s">
        <v>227</v>
      </c>
      <c r="O5" s="182"/>
      <c r="P5" s="181"/>
      <c r="Q5" s="182"/>
      <c r="R5" s="181"/>
      <c r="S5" s="182"/>
      <c r="T5" s="181"/>
      <c r="U5" s="182"/>
      <c r="V5" s="181"/>
      <c r="W5" s="182"/>
      <c r="X5" s="181"/>
      <c r="Y5" s="182"/>
      <c r="Z5" s="184"/>
      <c r="AA5" s="184"/>
      <c r="AB5" s="184"/>
      <c r="AC5" s="184"/>
      <c r="AD5" s="184"/>
      <c r="AE5" s="184"/>
      <c r="AF5" s="184"/>
      <c r="AG5" s="184"/>
      <c r="AH5" s="184"/>
      <c r="AI5" s="184"/>
      <c r="AJ5" s="184"/>
      <c r="AK5" s="184"/>
      <c r="AL5" s="184"/>
      <c r="AM5" s="184"/>
      <c r="AN5" s="184"/>
      <c r="AO5" s="184"/>
    </row>
    <row r="6" spans="1:41" s="92" customFormat="1" ht="15" thickBot="1" x14ac:dyDescent="0.35">
      <c r="A6" s="91" t="s">
        <v>115</v>
      </c>
      <c r="B6" s="188"/>
      <c r="C6" s="189"/>
      <c r="D6" s="188"/>
      <c r="E6" s="189"/>
      <c r="F6" s="188"/>
      <c r="G6" s="189"/>
      <c r="H6" s="188"/>
      <c r="I6" s="189"/>
      <c r="J6" s="188"/>
      <c r="K6" s="189"/>
      <c r="L6" s="188"/>
      <c r="M6" s="189"/>
      <c r="N6" s="188"/>
      <c r="O6" s="189"/>
      <c r="P6" s="188" t="s">
        <v>51</v>
      </c>
      <c r="Q6" s="189"/>
      <c r="R6" s="188" t="s">
        <v>45</v>
      </c>
      <c r="S6" s="189"/>
      <c r="T6" s="188" t="s">
        <v>52</v>
      </c>
      <c r="U6" s="189"/>
      <c r="V6" s="188"/>
      <c r="W6" s="189"/>
      <c r="X6" s="188"/>
      <c r="Y6" s="189"/>
      <c r="Z6" s="185"/>
      <c r="AA6" s="185"/>
      <c r="AB6" s="185"/>
      <c r="AC6" s="185"/>
      <c r="AD6" s="185"/>
      <c r="AE6" s="185"/>
      <c r="AF6" s="185"/>
      <c r="AG6" s="185"/>
      <c r="AH6" s="185"/>
      <c r="AI6" s="185"/>
      <c r="AJ6" s="185"/>
      <c r="AK6" s="185"/>
      <c r="AL6" s="185"/>
      <c r="AM6" s="185"/>
      <c r="AN6" s="185"/>
      <c r="AO6" s="185"/>
    </row>
    <row r="7" spans="1:41" x14ac:dyDescent="0.3">
      <c r="A7" s="37" t="s">
        <v>226</v>
      </c>
      <c r="B7" s="156"/>
      <c r="C7" s="157"/>
      <c r="D7" s="156"/>
      <c r="E7" s="157"/>
      <c r="F7" s="156"/>
      <c r="G7" s="157"/>
      <c r="H7" s="156"/>
      <c r="I7" s="157"/>
      <c r="J7" s="156"/>
      <c r="K7" s="157"/>
      <c r="L7" s="156"/>
      <c r="M7" s="157"/>
      <c r="N7" s="156"/>
      <c r="O7" s="157"/>
      <c r="P7" s="156"/>
      <c r="Q7" s="157"/>
      <c r="R7" s="156"/>
      <c r="S7" s="157"/>
      <c r="T7" s="156"/>
      <c r="U7" s="157"/>
      <c r="V7" s="156"/>
      <c r="W7" s="157"/>
      <c r="X7" s="156"/>
      <c r="Y7" s="157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</row>
    <row r="8" spans="1:41" x14ac:dyDescent="0.3">
      <c r="A8" s="37" t="s">
        <v>120</v>
      </c>
      <c r="B8" s="177" t="b">
        <v>1</v>
      </c>
      <c r="C8" s="178"/>
      <c r="D8" s="177" t="b">
        <v>1</v>
      </c>
      <c r="E8" s="178"/>
      <c r="F8" s="177" t="b">
        <v>0</v>
      </c>
      <c r="G8" s="178"/>
      <c r="H8" s="177" t="b">
        <v>0</v>
      </c>
      <c r="I8" s="178"/>
      <c r="J8" s="177" t="b">
        <v>0</v>
      </c>
      <c r="K8" s="178"/>
      <c r="L8" s="177" t="b">
        <v>0</v>
      </c>
      <c r="M8" s="178"/>
      <c r="N8" s="177" t="b">
        <v>0</v>
      </c>
      <c r="O8" s="178"/>
      <c r="P8" s="177" t="b">
        <v>0</v>
      </c>
      <c r="Q8" s="178"/>
      <c r="R8" s="177" t="b">
        <v>0</v>
      </c>
      <c r="S8" s="178"/>
      <c r="T8" s="177" t="b">
        <v>0</v>
      </c>
      <c r="U8" s="178"/>
      <c r="V8" s="177" t="b">
        <v>0</v>
      </c>
      <c r="W8" s="178"/>
      <c r="X8" s="177" t="b">
        <v>0</v>
      </c>
      <c r="Y8" s="178"/>
      <c r="Z8" s="177" t="b">
        <v>0</v>
      </c>
      <c r="AA8" s="178"/>
      <c r="AB8" s="177" t="b">
        <v>0</v>
      </c>
      <c r="AC8" s="178"/>
      <c r="AD8" s="177" t="b">
        <v>0</v>
      </c>
      <c r="AE8" s="178"/>
      <c r="AF8" s="177" t="b">
        <v>0</v>
      </c>
      <c r="AG8" s="178"/>
      <c r="AH8" s="177" t="b">
        <v>0</v>
      </c>
      <c r="AI8" s="178"/>
      <c r="AJ8" s="177" t="b">
        <v>0</v>
      </c>
      <c r="AK8" s="178"/>
      <c r="AL8" s="177" t="b">
        <v>0</v>
      </c>
      <c r="AM8" s="178"/>
      <c r="AN8" s="177" t="b">
        <v>0</v>
      </c>
      <c r="AO8" s="178"/>
    </row>
    <row r="9" spans="1:41" s="92" customFormat="1" ht="15" thickBot="1" x14ac:dyDescent="0.35">
      <c r="A9" s="91" t="s">
        <v>121</v>
      </c>
      <c r="B9" s="179" t="b">
        <v>1</v>
      </c>
      <c r="C9" s="180"/>
      <c r="D9" s="179" t="b">
        <v>1</v>
      </c>
      <c r="E9" s="180"/>
      <c r="F9" s="179" t="b">
        <v>0</v>
      </c>
      <c r="G9" s="180"/>
      <c r="H9" s="179" t="b">
        <v>0</v>
      </c>
      <c r="I9" s="180"/>
      <c r="J9" s="179" t="b">
        <v>0</v>
      </c>
      <c r="K9" s="180"/>
      <c r="L9" s="179" t="b">
        <v>0</v>
      </c>
      <c r="M9" s="180"/>
      <c r="N9" s="179" t="b">
        <v>0</v>
      </c>
      <c r="O9" s="180"/>
      <c r="P9" s="179" t="b">
        <v>0</v>
      </c>
      <c r="Q9" s="180"/>
      <c r="R9" s="179" t="b">
        <v>0</v>
      </c>
      <c r="S9" s="180"/>
      <c r="T9" s="179" t="b">
        <v>0</v>
      </c>
      <c r="U9" s="180"/>
      <c r="V9" s="179" t="b">
        <v>0</v>
      </c>
      <c r="W9" s="180"/>
      <c r="X9" s="179" t="b">
        <v>0</v>
      </c>
      <c r="Y9" s="180"/>
      <c r="Z9" s="179" t="b">
        <v>0</v>
      </c>
      <c r="AA9" s="180"/>
      <c r="AB9" s="179" t="b">
        <v>0</v>
      </c>
      <c r="AC9" s="180"/>
      <c r="AD9" s="179" t="b">
        <v>0</v>
      </c>
      <c r="AE9" s="180"/>
      <c r="AF9" s="179" t="b">
        <v>0</v>
      </c>
      <c r="AG9" s="180"/>
      <c r="AH9" s="179" t="b">
        <v>0</v>
      </c>
      <c r="AI9" s="180"/>
      <c r="AJ9" s="179" t="b">
        <v>0</v>
      </c>
      <c r="AK9" s="180"/>
      <c r="AL9" s="179" t="b">
        <v>0</v>
      </c>
      <c r="AM9" s="180"/>
      <c r="AN9" s="179" t="b">
        <v>0</v>
      </c>
      <c r="AO9" s="180"/>
    </row>
    <row r="10" spans="1:41" s="97" customFormat="1" x14ac:dyDescent="0.3">
      <c r="A10" s="94"/>
      <c r="B10" s="95" t="s">
        <v>113</v>
      </c>
      <c r="C10" s="96" t="s">
        <v>114</v>
      </c>
      <c r="D10" s="95" t="s">
        <v>113</v>
      </c>
      <c r="E10" s="96" t="s">
        <v>114</v>
      </c>
      <c r="F10" s="95" t="s">
        <v>113</v>
      </c>
      <c r="G10" s="96" t="s">
        <v>114</v>
      </c>
      <c r="H10" s="95" t="s">
        <v>113</v>
      </c>
      <c r="I10" s="96" t="s">
        <v>114</v>
      </c>
      <c r="J10" s="95" t="s">
        <v>113</v>
      </c>
      <c r="K10" s="96" t="s">
        <v>114</v>
      </c>
      <c r="L10" s="95" t="s">
        <v>113</v>
      </c>
      <c r="M10" s="96" t="s">
        <v>114</v>
      </c>
      <c r="N10" s="95" t="s">
        <v>113</v>
      </c>
      <c r="O10" s="96" t="s">
        <v>114</v>
      </c>
      <c r="P10" s="95" t="s">
        <v>113</v>
      </c>
      <c r="Q10" s="96" t="s">
        <v>114</v>
      </c>
      <c r="R10" s="95" t="s">
        <v>113</v>
      </c>
      <c r="S10" s="96" t="s">
        <v>114</v>
      </c>
      <c r="T10" s="95" t="s">
        <v>113</v>
      </c>
      <c r="U10" s="96" t="s">
        <v>114</v>
      </c>
      <c r="V10" s="95" t="s">
        <v>113</v>
      </c>
      <c r="W10" s="96" t="s">
        <v>114</v>
      </c>
      <c r="X10" s="95" t="s">
        <v>113</v>
      </c>
      <c r="Y10" s="96" t="s">
        <v>114</v>
      </c>
      <c r="Z10" s="117" t="s">
        <v>113</v>
      </c>
      <c r="AA10" s="96" t="s">
        <v>114</v>
      </c>
      <c r="AB10" s="95" t="s">
        <v>113</v>
      </c>
      <c r="AC10" s="96" t="s">
        <v>114</v>
      </c>
      <c r="AD10" s="95" t="s">
        <v>113</v>
      </c>
      <c r="AE10" s="96" t="s">
        <v>114</v>
      </c>
      <c r="AF10" s="95" t="s">
        <v>113</v>
      </c>
      <c r="AG10" s="96" t="s">
        <v>114</v>
      </c>
      <c r="AH10" s="95" t="s">
        <v>113</v>
      </c>
      <c r="AI10" s="96" t="s">
        <v>114</v>
      </c>
      <c r="AJ10" s="95" t="s">
        <v>113</v>
      </c>
      <c r="AK10" s="96" t="s">
        <v>114</v>
      </c>
      <c r="AL10" s="95" t="s">
        <v>113</v>
      </c>
      <c r="AM10" s="96" t="s">
        <v>114</v>
      </c>
      <c r="AN10" s="95" t="s">
        <v>113</v>
      </c>
      <c r="AO10" s="96" t="s">
        <v>114</v>
      </c>
    </row>
    <row r="11" spans="1:41" x14ac:dyDescent="0.3">
      <c r="B11" s="98">
        <f>DATE(2025,1,1) + TIME(0,0,0)</f>
        <v>45658</v>
      </c>
      <c r="C11" s="99">
        <v>9.8852035021249535E-2</v>
      </c>
      <c r="D11" s="98">
        <f>B11</f>
        <v>45658</v>
      </c>
      <c r="E11" s="99">
        <f>C11-0.01</f>
        <v>8.885203502124954E-2</v>
      </c>
    </row>
    <row r="12" spans="1:41" x14ac:dyDescent="0.3">
      <c r="B12" s="98">
        <f>B11+TIME(1,0,0)</f>
        <v>45658.041666666664</v>
      </c>
      <c r="C12" s="99">
        <v>0.10053905152233365</v>
      </c>
      <c r="D12" s="98">
        <f t="shared" ref="D12:D75" si="0">B12</f>
        <v>45658.041666666664</v>
      </c>
      <c r="E12" s="99">
        <f t="shared" ref="E12:E75" si="1">C12-0.01</f>
        <v>9.0539051522333658E-2</v>
      </c>
    </row>
    <row r="13" spans="1:41" x14ac:dyDescent="0.3">
      <c r="B13" s="98">
        <f>B12+TIME(1,0,0)</f>
        <v>45658.083333333328</v>
      </c>
      <c r="C13" s="99">
        <v>6.8304446714782197E-2</v>
      </c>
      <c r="D13" s="98">
        <f t="shared" si="0"/>
        <v>45658.083333333328</v>
      </c>
      <c r="E13" s="99">
        <f t="shared" si="1"/>
        <v>5.8304446714782195E-2</v>
      </c>
    </row>
    <row r="14" spans="1:41" x14ac:dyDescent="0.3">
      <c r="B14" s="98">
        <f t="shared" ref="B14:B77" si="2">B13+TIME(1,0,0)</f>
        <v>45658.124999999993</v>
      </c>
      <c r="C14" s="99">
        <v>0.12042529395298955</v>
      </c>
      <c r="D14" s="98">
        <f t="shared" si="0"/>
        <v>45658.124999999993</v>
      </c>
      <c r="E14" s="99">
        <f t="shared" si="1"/>
        <v>0.11042529395298956</v>
      </c>
    </row>
    <row r="15" spans="1:41" x14ac:dyDescent="0.3">
      <c r="B15" s="98">
        <f t="shared" si="2"/>
        <v>45658.166666666657</v>
      </c>
      <c r="C15" s="99">
        <v>0.11605400848075439</v>
      </c>
      <c r="D15" s="98">
        <f t="shared" si="0"/>
        <v>45658.166666666657</v>
      </c>
      <c r="E15" s="99">
        <f t="shared" si="1"/>
        <v>0.1060540084807544</v>
      </c>
    </row>
    <row r="16" spans="1:41" x14ac:dyDescent="0.3">
      <c r="B16" s="98">
        <f t="shared" si="2"/>
        <v>45658.208333333321</v>
      </c>
      <c r="C16" s="99">
        <v>0.13299281213205591</v>
      </c>
      <c r="D16" s="98">
        <f t="shared" si="0"/>
        <v>45658.208333333321</v>
      </c>
      <c r="E16" s="99">
        <f t="shared" si="1"/>
        <v>0.12299281213205591</v>
      </c>
    </row>
    <row r="17" spans="2:5" x14ac:dyDescent="0.3">
      <c r="B17" s="98">
        <f t="shared" si="2"/>
        <v>45658.249999999985</v>
      </c>
      <c r="C17" s="99">
        <v>0.11707449345766061</v>
      </c>
      <c r="D17" s="98">
        <f t="shared" si="0"/>
        <v>45658.249999999985</v>
      </c>
      <c r="E17" s="99">
        <f t="shared" si="1"/>
        <v>0.10707449345766061</v>
      </c>
    </row>
    <row r="18" spans="2:5" x14ac:dyDescent="0.3">
      <c r="B18" s="98">
        <f t="shared" si="2"/>
        <v>45658.29166666665</v>
      </c>
      <c r="C18" s="99">
        <v>0.10928575073250292</v>
      </c>
      <c r="D18" s="98">
        <f t="shared" si="0"/>
        <v>45658.29166666665</v>
      </c>
      <c r="E18" s="99">
        <f t="shared" si="1"/>
        <v>9.9285750732502925E-2</v>
      </c>
    </row>
    <row r="19" spans="2:5" x14ac:dyDescent="0.3">
      <c r="B19" s="98">
        <f t="shared" si="2"/>
        <v>45658.333333333314</v>
      </c>
      <c r="C19" s="99">
        <v>0.10412536817458075</v>
      </c>
      <c r="D19" s="98">
        <f t="shared" si="0"/>
        <v>45658.333333333314</v>
      </c>
      <c r="E19" s="99">
        <f t="shared" si="1"/>
        <v>9.4125368174580754E-2</v>
      </c>
    </row>
    <row r="20" spans="2:5" x14ac:dyDescent="0.3">
      <c r="B20" s="98">
        <f t="shared" si="2"/>
        <v>45658.374999999978</v>
      </c>
      <c r="C20" s="99">
        <v>0.11115757736754145</v>
      </c>
      <c r="D20" s="98">
        <f t="shared" si="0"/>
        <v>45658.374999999978</v>
      </c>
      <c r="E20" s="99">
        <f t="shared" si="1"/>
        <v>0.10115757736754145</v>
      </c>
    </row>
    <row r="21" spans="2:5" x14ac:dyDescent="0.3">
      <c r="B21" s="98">
        <f t="shared" si="2"/>
        <v>45658.416666666642</v>
      </c>
      <c r="C21" s="99">
        <v>9.0005809793407082E-2</v>
      </c>
      <c r="D21" s="98">
        <f t="shared" si="0"/>
        <v>45658.416666666642</v>
      </c>
      <c r="E21" s="99">
        <f t="shared" si="1"/>
        <v>8.0005809793407087E-2</v>
      </c>
    </row>
    <row r="22" spans="2:5" x14ac:dyDescent="0.3">
      <c r="B22" s="98">
        <f t="shared" si="2"/>
        <v>45658.458333333307</v>
      </c>
      <c r="C22" s="99">
        <v>0.12868402599887041</v>
      </c>
      <c r="D22" s="98">
        <f t="shared" si="0"/>
        <v>45658.458333333307</v>
      </c>
      <c r="E22" s="99">
        <f t="shared" si="1"/>
        <v>0.11868402599887042</v>
      </c>
    </row>
    <row r="23" spans="2:5" x14ac:dyDescent="0.3">
      <c r="B23" s="98">
        <f t="shared" si="2"/>
        <v>45658.499999999971</v>
      </c>
      <c r="C23" s="99">
        <v>0.11048852880199357</v>
      </c>
      <c r="D23" s="98">
        <f t="shared" si="0"/>
        <v>45658.499999999971</v>
      </c>
      <c r="E23" s="99">
        <f t="shared" si="1"/>
        <v>0.10048852880199358</v>
      </c>
    </row>
    <row r="24" spans="2:5" x14ac:dyDescent="0.3">
      <c r="B24" s="98">
        <f t="shared" si="2"/>
        <v>45658.541666666635</v>
      </c>
      <c r="C24" s="99">
        <v>8.4015308081561296E-2</v>
      </c>
      <c r="D24" s="98">
        <f t="shared" si="0"/>
        <v>45658.541666666635</v>
      </c>
      <c r="E24" s="99">
        <f t="shared" si="1"/>
        <v>7.4015308081561301E-2</v>
      </c>
    </row>
    <row r="25" spans="2:5" x14ac:dyDescent="0.3">
      <c r="B25" s="98">
        <f t="shared" si="2"/>
        <v>45658.583333333299</v>
      </c>
      <c r="C25" s="99">
        <v>0.10734158956046558</v>
      </c>
      <c r="D25" s="98">
        <f t="shared" si="0"/>
        <v>45658.583333333299</v>
      </c>
      <c r="E25" s="99">
        <f t="shared" si="1"/>
        <v>9.7341589560465583E-2</v>
      </c>
    </row>
    <row r="26" spans="2:5" x14ac:dyDescent="0.3">
      <c r="B26" s="98">
        <f t="shared" si="2"/>
        <v>45658.624999999964</v>
      </c>
      <c r="C26" s="99">
        <v>7.6131654969005647E-2</v>
      </c>
      <c r="D26" s="98">
        <f t="shared" si="0"/>
        <v>45658.624999999964</v>
      </c>
      <c r="E26" s="99">
        <f t="shared" si="1"/>
        <v>6.6131654969005652E-2</v>
      </c>
    </row>
    <row r="27" spans="2:5" x14ac:dyDescent="0.3">
      <c r="B27" s="98">
        <f t="shared" si="2"/>
        <v>45658.666666666628</v>
      </c>
      <c r="C27" s="99">
        <v>0.12068650232179369</v>
      </c>
      <c r="D27" s="98">
        <f t="shared" si="0"/>
        <v>45658.666666666628</v>
      </c>
      <c r="E27" s="99">
        <f t="shared" si="1"/>
        <v>0.11068650232179369</v>
      </c>
    </row>
    <row r="28" spans="2:5" x14ac:dyDescent="0.3">
      <c r="B28" s="98">
        <f t="shared" si="2"/>
        <v>45658.708333333292</v>
      </c>
      <c r="C28" s="99">
        <v>0.13007109082280413</v>
      </c>
      <c r="D28" s="98">
        <f t="shared" si="0"/>
        <v>45658.708333333292</v>
      </c>
      <c r="E28" s="99">
        <f t="shared" si="1"/>
        <v>0.12007109082280414</v>
      </c>
    </row>
    <row r="29" spans="2:5" x14ac:dyDescent="0.3">
      <c r="B29" s="98">
        <f t="shared" si="2"/>
        <v>45658.749999999956</v>
      </c>
      <c r="C29" s="99">
        <v>0.12516650931451981</v>
      </c>
      <c r="D29" s="98">
        <f t="shared" si="0"/>
        <v>45658.749999999956</v>
      </c>
      <c r="E29" s="99">
        <f t="shared" si="1"/>
        <v>0.11516650931451981</v>
      </c>
    </row>
    <row r="30" spans="2:5" x14ac:dyDescent="0.3">
      <c r="B30" s="98">
        <f t="shared" si="2"/>
        <v>45658.791666666621</v>
      </c>
      <c r="C30" s="99">
        <v>9.5845456434998019E-2</v>
      </c>
      <c r="D30" s="98">
        <f t="shared" si="0"/>
        <v>45658.791666666621</v>
      </c>
      <c r="E30" s="99">
        <f t="shared" si="1"/>
        <v>8.5845456434998024E-2</v>
      </c>
    </row>
    <row r="31" spans="2:5" x14ac:dyDescent="0.3">
      <c r="B31" s="98">
        <f t="shared" si="2"/>
        <v>45658.833333333285</v>
      </c>
      <c r="C31" s="99">
        <v>0.11235710245986642</v>
      </c>
      <c r="D31" s="98">
        <f t="shared" si="0"/>
        <v>45658.833333333285</v>
      </c>
      <c r="E31" s="99">
        <f t="shared" si="1"/>
        <v>0.10235710245986643</v>
      </c>
    </row>
    <row r="32" spans="2:5" x14ac:dyDescent="0.3">
      <c r="B32" s="98">
        <f t="shared" si="2"/>
        <v>45658.874999999949</v>
      </c>
      <c r="C32" s="99">
        <v>7.1951047053141939E-2</v>
      </c>
      <c r="D32" s="98">
        <f t="shared" si="0"/>
        <v>45658.874999999949</v>
      </c>
      <c r="E32" s="99">
        <f t="shared" si="1"/>
        <v>6.1951047053141937E-2</v>
      </c>
    </row>
    <row r="33" spans="2:5" x14ac:dyDescent="0.3">
      <c r="B33" s="98">
        <f t="shared" si="2"/>
        <v>45658.916666666613</v>
      </c>
      <c r="C33" s="99">
        <v>0.15270504973668406</v>
      </c>
      <c r="D33" s="98">
        <f t="shared" si="0"/>
        <v>45658.916666666613</v>
      </c>
      <c r="E33" s="99">
        <f t="shared" si="1"/>
        <v>0.14270504973668405</v>
      </c>
    </row>
    <row r="34" spans="2:5" x14ac:dyDescent="0.3">
      <c r="B34" s="98">
        <f t="shared" si="2"/>
        <v>45658.958333333278</v>
      </c>
      <c r="C34" s="99">
        <v>0.13502958150342234</v>
      </c>
      <c r="D34" s="98">
        <f t="shared" si="0"/>
        <v>45658.958333333278</v>
      </c>
      <c r="E34" s="99">
        <f t="shared" si="1"/>
        <v>0.12502958150342233</v>
      </c>
    </row>
    <row r="35" spans="2:5" x14ac:dyDescent="0.3">
      <c r="B35" s="98">
        <f t="shared" si="2"/>
        <v>45658.999999999942</v>
      </c>
      <c r="C35" s="99">
        <v>6.3146702441977842E-2</v>
      </c>
      <c r="D35" s="98">
        <f t="shared" si="0"/>
        <v>45658.999999999942</v>
      </c>
      <c r="E35" s="99">
        <f t="shared" si="1"/>
        <v>5.314670244197784E-2</v>
      </c>
    </row>
    <row r="36" spans="2:5" x14ac:dyDescent="0.3">
      <c r="B36" s="98">
        <f t="shared" si="2"/>
        <v>45659.041666666606</v>
      </c>
      <c r="C36" s="99">
        <v>0.1366120451189741</v>
      </c>
      <c r="D36" s="98">
        <f t="shared" si="0"/>
        <v>45659.041666666606</v>
      </c>
      <c r="E36" s="99">
        <f t="shared" si="1"/>
        <v>0.12661204511897409</v>
      </c>
    </row>
    <row r="37" spans="2:5" x14ac:dyDescent="0.3">
      <c r="B37" s="98">
        <f t="shared" si="2"/>
        <v>45659.08333333327</v>
      </c>
      <c r="C37" s="99">
        <v>0.13368443057110041</v>
      </c>
      <c r="D37" s="98">
        <f t="shared" si="0"/>
        <v>45659.08333333327</v>
      </c>
      <c r="E37" s="99">
        <f t="shared" si="1"/>
        <v>0.12368443057110041</v>
      </c>
    </row>
    <row r="38" spans="2:5" x14ac:dyDescent="0.3">
      <c r="B38" s="98">
        <f t="shared" si="2"/>
        <v>45659.124999999935</v>
      </c>
      <c r="C38" s="99">
        <v>0.15504138341245888</v>
      </c>
      <c r="D38" s="98">
        <f t="shared" si="0"/>
        <v>45659.124999999935</v>
      </c>
      <c r="E38" s="99">
        <f t="shared" si="1"/>
        <v>0.14504138341245887</v>
      </c>
    </row>
    <row r="39" spans="2:5" x14ac:dyDescent="0.3">
      <c r="B39" s="98">
        <f t="shared" si="2"/>
        <v>45659.166666666599</v>
      </c>
      <c r="C39" s="99">
        <v>6.461150683595962E-2</v>
      </c>
      <c r="D39" s="98">
        <f t="shared" si="0"/>
        <v>45659.166666666599</v>
      </c>
      <c r="E39" s="99">
        <f t="shared" si="1"/>
        <v>5.4611506835959618E-2</v>
      </c>
    </row>
    <row r="40" spans="2:5" x14ac:dyDescent="0.3">
      <c r="B40" s="98">
        <f t="shared" si="2"/>
        <v>45659.208333333263</v>
      </c>
      <c r="C40" s="99">
        <v>0.10879356906224255</v>
      </c>
      <c r="D40" s="98">
        <f t="shared" si="0"/>
        <v>45659.208333333263</v>
      </c>
      <c r="E40" s="99">
        <f t="shared" si="1"/>
        <v>9.8793569062242556E-2</v>
      </c>
    </row>
    <row r="41" spans="2:5" x14ac:dyDescent="0.3">
      <c r="B41" s="98">
        <f t="shared" si="2"/>
        <v>45659.249999999927</v>
      </c>
      <c r="C41" s="99">
        <v>0.13322562523981774</v>
      </c>
      <c r="D41" s="98">
        <f t="shared" si="0"/>
        <v>45659.249999999927</v>
      </c>
      <c r="E41" s="99">
        <f t="shared" si="1"/>
        <v>0.12322562523981774</v>
      </c>
    </row>
    <row r="42" spans="2:5" x14ac:dyDescent="0.3">
      <c r="B42" s="98">
        <f t="shared" si="2"/>
        <v>45659.291666666591</v>
      </c>
      <c r="C42" s="99">
        <v>0.1510363718152351</v>
      </c>
      <c r="D42" s="98">
        <f t="shared" si="0"/>
        <v>45659.291666666591</v>
      </c>
      <c r="E42" s="99">
        <f t="shared" si="1"/>
        <v>0.1410363718152351</v>
      </c>
    </row>
    <row r="43" spans="2:5" x14ac:dyDescent="0.3">
      <c r="B43" s="98">
        <f t="shared" si="2"/>
        <v>45659.333333333256</v>
      </c>
      <c r="C43" s="99">
        <v>6.7545682053067269E-2</v>
      </c>
      <c r="D43" s="98">
        <f t="shared" si="0"/>
        <v>45659.333333333256</v>
      </c>
      <c r="E43" s="99">
        <f t="shared" si="1"/>
        <v>5.7545682053067267E-2</v>
      </c>
    </row>
    <row r="44" spans="2:5" x14ac:dyDescent="0.3">
      <c r="B44" s="98">
        <f t="shared" si="2"/>
        <v>45659.37499999992</v>
      </c>
      <c r="C44" s="99">
        <v>0.10306637227114264</v>
      </c>
      <c r="D44" s="98">
        <f t="shared" si="0"/>
        <v>45659.37499999992</v>
      </c>
      <c r="E44" s="99">
        <f t="shared" si="1"/>
        <v>9.3066372271142644E-2</v>
      </c>
    </row>
    <row r="45" spans="2:5" x14ac:dyDescent="0.3">
      <c r="B45" s="98">
        <f t="shared" si="2"/>
        <v>45659.416666666584</v>
      </c>
      <c r="C45" s="99">
        <v>0.15998723793895681</v>
      </c>
      <c r="D45" s="98">
        <f t="shared" si="0"/>
        <v>45659.416666666584</v>
      </c>
      <c r="E45" s="99">
        <f t="shared" si="1"/>
        <v>0.1499872379389568</v>
      </c>
    </row>
    <row r="46" spans="2:5" x14ac:dyDescent="0.3">
      <c r="B46" s="98">
        <f t="shared" si="2"/>
        <v>45659.458333333248</v>
      </c>
      <c r="C46" s="99">
        <v>0.13098554558305409</v>
      </c>
      <c r="D46" s="98">
        <f t="shared" si="0"/>
        <v>45659.458333333248</v>
      </c>
      <c r="E46" s="99">
        <f t="shared" si="1"/>
        <v>0.12098554558305409</v>
      </c>
    </row>
    <row r="47" spans="2:5" x14ac:dyDescent="0.3">
      <c r="B47" s="98">
        <f t="shared" si="2"/>
        <v>45659.499999999913</v>
      </c>
      <c r="C47" s="99">
        <v>0.10428945832820453</v>
      </c>
      <c r="D47" s="98">
        <f t="shared" si="0"/>
        <v>45659.499999999913</v>
      </c>
      <c r="E47" s="99">
        <f t="shared" si="1"/>
        <v>9.428945832820454E-2</v>
      </c>
    </row>
    <row r="48" spans="2:5" x14ac:dyDescent="0.3">
      <c r="B48" s="98">
        <f t="shared" si="2"/>
        <v>45659.541666666577</v>
      </c>
      <c r="C48" s="99">
        <v>6.9439141484176375E-2</v>
      </c>
      <c r="D48" s="98">
        <f t="shared" si="0"/>
        <v>45659.541666666577</v>
      </c>
      <c r="E48" s="99">
        <f t="shared" si="1"/>
        <v>5.9439141484176373E-2</v>
      </c>
    </row>
    <row r="49" spans="2:5" x14ac:dyDescent="0.3">
      <c r="B49" s="98">
        <f t="shared" si="2"/>
        <v>45659.583333333241</v>
      </c>
      <c r="C49" s="99">
        <v>0.10022023572610325</v>
      </c>
      <c r="D49" s="98">
        <f t="shared" si="0"/>
        <v>45659.583333333241</v>
      </c>
      <c r="E49" s="99">
        <f t="shared" si="1"/>
        <v>9.0220235726103257E-2</v>
      </c>
    </row>
    <row r="50" spans="2:5" x14ac:dyDescent="0.3">
      <c r="B50" s="98">
        <f t="shared" si="2"/>
        <v>45659.624999999905</v>
      </c>
      <c r="C50" s="99">
        <v>7.5834992150829866E-2</v>
      </c>
      <c r="D50" s="98">
        <f t="shared" si="0"/>
        <v>45659.624999999905</v>
      </c>
      <c r="E50" s="99">
        <f t="shared" si="1"/>
        <v>6.5834992150829871E-2</v>
      </c>
    </row>
    <row r="51" spans="2:5" x14ac:dyDescent="0.3">
      <c r="B51" s="98">
        <f t="shared" si="2"/>
        <v>45659.66666666657</v>
      </c>
      <c r="C51" s="99">
        <v>6.8549885805872846E-2</v>
      </c>
      <c r="D51" s="98">
        <f t="shared" si="0"/>
        <v>45659.66666666657</v>
      </c>
      <c r="E51" s="99">
        <f t="shared" si="1"/>
        <v>5.8549885805872844E-2</v>
      </c>
    </row>
    <row r="52" spans="2:5" x14ac:dyDescent="0.3">
      <c r="B52" s="98">
        <f t="shared" si="2"/>
        <v>45659.708333333234</v>
      </c>
      <c r="C52" s="99">
        <v>8.6952426485572179E-2</v>
      </c>
      <c r="D52" s="98">
        <f t="shared" si="0"/>
        <v>45659.708333333234</v>
      </c>
      <c r="E52" s="99">
        <f t="shared" si="1"/>
        <v>7.6952426485572184E-2</v>
      </c>
    </row>
    <row r="53" spans="2:5" x14ac:dyDescent="0.3">
      <c r="B53" s="98">
        <f t="shared" si="2"/>
        <v>45659.749999999898</v>
      </c>
      <c r="C53" s="99">
        <v>0.10659192968821325</v>
      </c>
      <c r="D53" s="98">
        <f t="shared" si="0"/>
        <v>45659.749999999898</v>
      </c>
      <c r="E53" s="99">
        <f t="shared" si="1"/>
        <v>9.6591929688213257E-2</v>
      </c>
    </row>
    <row r="54" spans="2:5" x14ac:dyDescent="0.3">
      <c r="B54" s="98">
        <f t="shared" si="2"/>
        <v>45659.791666666562</v>
      </c>
      <c r="C54" s="99">
        <v>0.14589769569601765</v>
      </c>
      <c r="D54" s="98">
        <f t="shared" si="0"/>
        <v>45659.791666666562</v>
      </c>
      <c r="E54" s="99">
        <f t="shared" si="1"/>
        <v>0.13589769569601765</v>
      </c>
    </row>
    <row r="55" spans="2:5" x14ac:dyDescent="0.3">
      <c r="B55" s="98">
        <f t="shared" si="2"/>
        <v>45659.833333333227</v>
      </c>
      <c r="C55" s="99">
        <v>0.13959835356968911</v>
      </c>
      <c r="D55" s="98">
        <f t="shared" si="0"/>
        <v>45659.833333333227</v>
      </c>
      <c r="E55" s="99">
        <f t="shared" si="1"/>
        <v>0.1295983535696891</v>
      </c>
    </row>
    <row r="56" spans="2:5" x14ac:dyDescent="0.3">
      <c r="B56" s="98">
        <f t="shared" si="2"/>
        <v>45659.874999999891</v>
      </c>
      <c r="C56" s="99">
        <v>9.180392098865138E-2</v>
      </c>
      <c r="D56" s="98">
        <f t="shared" si="0"/>
        <v>45659.874999999891</v>
      </c>
      <c r="E56" s="99">
        <f t="shared" si="1"/>
        <v>8.1803920988651385E-2</v>
      </c>
    </row>
    <row r="57" spans="2:5" x14ac:dyDescent="0.3">
      <c r="B57" s="98">
        <f t="shared" si="2"/>
        <v>45659.916666666555</v>
      </c>
      <c r="C57" s="99">
        <v>6.7847980283107012E-2</v>
      </c>
      <c r="D57" s="98">
        <f t="shared" si="0"/>
        <v>45659.916666666555</v>
      </c>
      <c r="E57" s="99">
        <f t="shared" si="1"/>
        <v>5.784798028310701E-2</v>
      </c>
    </row>
    <row r="58" spans="2:5" x14ac:dyDescent="0.3">
      <c r="B58" s="98">
        <f t="shared" si="2"/>
        <v>45659.958333333219</v>
      </c>
      <c r="C58" s="99">
        <v>0.14436736757339333</v>
      </c>
      <c r="D58" s="98">
        <f t="shared" si="0"/>
        <v>45659.958333333219</v>
      </c>
      <c r="E58" s="99">
        <f t="shared" si="1"/>
        <v>0.13436736757339332</v>
      </c>
    </row>
    <row r="59" spans="2:5" x14ac:dyDescent="0.3">
      <c r="B59" s="98">
        <f t="shared" si="2"/>
        <v>45659.999999999884</v>
      </c>
      <c r="C59" s="99">
        <v>0.1559906472478654</v>
      </c>
      <c r="D59" s="98">
        <f t="shared" si="0"/>
        <v>45659.999999999884</v>
      </c>
      <c r="E59" s="99">
        <f t="shared" si="1"/>
        <v>0.1459906472478654</v>
      </c>
    </row>
    <row r="60" spans="2:5" x14ac:dyDescent="0.3">
      <c r="B60" s="98">
        <f t="shared" si="2"/>
        <v>45660.041666666548</v>
      </c>
      <c r="C60" s="99">
        <v>0.13841332234758497</v>
      </c>
      <c r="D60" s="98">
        <f t="shared" si="0"/>
        <v>45660.041666666548</v>
      </c>
      <c r="E60" s="99">
        <f t="shared" si="1"/>
        <v>0.12841332234758496</v>
      </c>
    </row>
    <row r="61" spans="2:5" x14ac:dyDescent="0.3">
      <c r="B61" s="98">
        <f t="shared" si="2"/>
        <v>45660.083333333212</v>
      </c>
      <c r="C61" s="99">
        <v>7.6670101980961025E-2</v>
      </c>
      <c r="D61" s="98">
        <f t="shared" si="0"/>
        <v>45660.083333333212</v>
      </c>
      <c r="E61" s="99">
        <f t="shared" si="1"/>
        <v>6.667010198096103E-2</v>
      </c>
    </row>
    <row r="62" spans="2:5" x14ac:dyDescent="0.3">
      <c r="B62" s="98">
        <f t="shared" si="2"/>
        <v>45660.124999999876</v>
      </c>
      <c r="C62" s="99">
        <v>0.14485380536826842</v>
      </c>
      <c r="D62" s="98">
        <f t="shared" si="0"/>
        <v>45660.124999999876</v>
      </c>
      <c r="E62" s="99">
        <f t="shared" si="1"/>
        <v>0.13485380536826841</v>
      </c>
    </row>
    <row r="63" spans="2:5" x14ac:dyDescent="0.3">
      <c r="B63" s="98">
        <f t="shared" si="2"/>
        <v>45660.166666666541</v>
      </c>
      <c r="C63" s="99">
        <v>0.15653997610458886</v>
      </c>
      <c r="D63" s="98">
        <f t="shared" si="0"/>
        <v>45660.166666666541</v>
      </c>
      <c r="E63" s="99">
        <f t="shared" si="1"/>
        <v>0.14653997610458885</v>
      </c>
    </row>
    <row r="64" spans="2:5" x14ac:dyDescent="0.3">
      <c r="B64" s="98">
        <f t="shared" si="2"/>
        <v>45660.208333333205</v>
      </c>
      <c r="C64" s="99">
        <v>7.3272664706026225E-2</v>
      </c>
      <c r="D64" s="98">
        <f t="shared" si="0"/>
        <v>45660.208333333205</v>
      </c>
      <c r="E64" s="99">
        <f t="shared" si="1"/>
        <v>6.327266470602623E-2</v>
      </c>
    </row>
    <row r="65" spans="2:5" x14ac:dyDescent="0.3">
      <c r="B65" s="98">
        <f t="shared" si="2"/>
        <v>45660.249999999869</v>
      </c>
      <c r="C65" s="99">
        <v>7.0033767157217153E-2</v>
      </c>
      <c r="D65" s="98">
        <f t="shared" si="0"/>
        <v>45660.249999999869</v>
      </c>
      <c r="E65" s="99">
        <f t="shared" si="1"/>
        <v>6.0033767157217151E-2</v>
      </c>
    </row>
    <row r="66" spans="2:5" x14ac:dyDescent="0.3">
      <c r="B66" s="98">
        <f t="shared" si="2"/>
        <v>45660.291666666533</v>
      </c>
      <c r="C66" s="99">
        <v>0.15950102358015639</v>
      </c>
      <c r="D66" s="98">
        <f t="shared" si="0"/>
        <v>45660.291666666533</v>
      </c>
      <c r="E66" s="99">
        <f t="shared" si="1"/>
        <v>0.14950102358015638</v>
      </c>
    </row>
    <row r="67" spans="2:5" x14ac:dyDescent="0.3">
      <c r="B67" s="98">
        <f t="shared" si="2"/>
        <v>45660.333333333198</v>
      </c>
      <c r="C67" s="99">
        <v>0.15396015066101448</v>
      </c>
      <c r="D67" s="98">
        <f t="shared" si="0"/>
        <v>45660.333333333198</v>
      </c>
      <c r="E67" s="99">
        <f t="shared" si="1"/>
        <v>0.14396015066101447</v>
      </c>
    </row>
    <row r="68" spans="2:5" x14ac:dyDescent="0.3">
      <c r="B68" s="98">
        <f t="shared" si="2"/>
        <v>45660.374999999862</v>
      </c>
      <c r="C68" s="99">
        <v>0.15326972616062096</v>
      </c>
      <c r="D68" s="98">
        <f t="shared" si="0"/>
        <v>45660.374999999862</v>
      </c>
      <c r="E68" s="99">
        <f t="shared" si="1"/>
        <v>0.14326972616062095</v>
      </c>
    </row>
    <row r="69" spans="2:5" x14ac:dyDescent="0.3">
      <c r="B69" s="98">
        <f t="shared" si="2"/>
        <v>45660.416666666526</v>
      </c>
      <c r="C69" s="99">
        <v>9.1541006268375802E-2</v>
      </c>
      <c r="D69" s="98">
        <f t="shared" si="0"/>
        <v>45660.416666666526</v>
      </c>
      <c r="E69" s="99">
        <f t="shared" si="1"/>
        <v>8.1541006268375807E-2</v>
      </c>
    </row>
    <row r="70" spans="2:5" x14ac:dyDescent="0.3">
      <c r="B70" s="98">
        <f t="shared" si="2"/>
        <v>45660.45833333319</v>
      </c>
      <c r="C70" s="99">
        <v>9.7400062092022399E-2</v>
      </c>
      <c r="D70" s="98">
        <f t="shared" si="0"/>
        <v>45660.45833333319</v>
      </c>
      <c r="E70" s="99">
        <f t="shared" si="1"/>
        <v>8.7400062092022404E-2</v>
      </c>
    </row>
    <row r="71" spans="2:5" x14ac:dyDescent="0.3">
      <c r="B71" s="98">
        <f t="shared" si="2"/>
        <v>45660.499999999854</v>
      </c>
      <c r="C71" s="99">
        <v>7.2160487610563068E-2</v>
      </c>
      <c r="D71" s="98">
        <f t="shared" si="0"/>
        <v>45660.499999999854</v>
      </c>
      <c r="E71" s="99">
        <f t="shared" si="1"/>
        <v>6.2160487610563066E-2</v>
      </c>
    </row>
    <row r="72" spans="2:5" x14ac:dyDescent="0.3">
      <c r="B72" s="98">
        <f t="shared" si="2"/>
        <v>45660.541666666519</v>
      </c>
      <c r="C72" s="99">
        <v>0.11713978947114725</v>
      </c>
      <c r="D72" s="98">
        <f t="shared" si="0"/>
        <v>45660.541666666519</v>
      </c>
      <c r="E72" s="99">
        <f t="shared" si="1"/>
        <v>0.10713978947114726</v>
      </c>
    </row>
    <row r="73" spans="2:5" x14ac:dyDescent="0.3">
      <c r="B73" s="98">
        <f t="shared" si="2"/>
        <v>45660.583333333183</v>
      </c>
      <c r="C73" s="99">
        <v>0.11397809039057921</v>
      </c>
      <c r="D73" s="98">
        <f t="shared" si="0"/>
        <v>45660.583333333183</v>
      </c>
      <c r="E73" s="99">
        <f t="shared" si="1"/>
        <v>0.10397809039057922</v>
      </c>
    </row>
    <row r="74" spans="2:5" x14ac:dyDescent="0.3">
      <c r="B74" s="98">
        <f t="shared" si="2"/>
        <v>45660.624999999847</v>
      </c>
      <c r="C74" s="99">
        <v>0.14804762464360657</v>
      </c>
      <c r="D74" s="98">
        <f t="shared" si="0"/>
        <v>45660.624999999847</v>
      </c>
      <c r="E74" s="99">
        <f t="shared" si="1"/>
        <v>0.13804762464360656</v>
      </c>
    </row>
    <row r="75" spans="2:5" x14ac:dyDescent="0.3">
      <c r="B75" s="98">
        <f t="shared" si="2"/>
        <v>45660.666666666511</v>
      </c>
      <c r="C75" s="99">
        <v>9.1599090581517745E-2</v>
      </c>
      <c r="D75" s="98">
        <f t="shared" si="0"/>
        <v>45660.666666666511</v>
      </c>
      <c r="E75" s="99">
        <f t="shared" si="1"/>
        <v>8.159909058151775E-2</v>
      </c>
    </row>
    <row r="76" spans="2:5" x14ac:dyDescent="0.3">
      <c r="B76" s="98">
        <f t="shared" si="2"/>
        <v>45660.708333333176</v>
      </c>
      <c r="C76" s="99">
        <v>0.10236313816493346</v>
      </c>
      <c r="D76" s="98">
        <f t="shared" ref="D76:D92" si="3">B76</f>
        <v>45660.708333333176</v>
      </c>
      <c r="E76" s="99">
        <f t="shared" ref="E76:E92" si="4">C76-0.01</f>
        <v>9.2363138164933467E-2</v>
      </c>
    </row>
    <row r="77" spans="2:5" x14ac:dyDescent="0.3">
      <c r="B77" s="98">
        <f t="shared" si="2"/>
        <v>45660.74999999984</v>
      </c>
      <c r="C77" s="99">
        <v>0.1197712941047953</v>
      </c>
      <c r="D77" s="98">
        <f t="shared" si="3"/>
        <v>45660.74999999984</v>
      </c>
      <c r="E77" s="99">
        <f t="shared" si="4"/>
        <v>0.1097712941047953</v>
      </c>
    </row>
    <row r="78" spans="2:5" x14ac:dyDescent="0.3">
      <c r="B78" s="98">
        <f t="shared" ref="B78:B92" si="5">B77+TIME(1,0,0)</f>
        <v>45660.791666666504</v>
      </c>
      <c r="C78" s="99">
        <v>9.1017051740617763E-2</v>
      </c>
      <c r="D78" s="98">
        <f t="shared" si="3"/>
        <v>45660.791666666504</v>
      </c>
      <c r="E78" s="99">
        <f t="shared" si="4"/>
        <v>8.1017051740617768E-2</v>
      </c>
    </row>
    <row r="79" spans="2:5" x14ac:dyDescent="0.3">
      <c r="B79" s="98">
        <f t="shared" si="5"/>
        <v>45660.833333333168</v>
      </c>
      <c r="C79" s="99">
        <v>0.15993722107260577</v>
      </c>
      <c r="D79" s="98">
        <f t="shared" si="3"/>
        <v>45660.833333333168</v>
      </c>
      <c r="E79" s="99">
        <f t="shared" si="4"/>
        <v>0.14993722107260576</v>
      </c>
    </row>
    <row r="80" spans="2:5" x14ac:dyDescent="0.3">
      <c r="B80" s="98">
        <f t="shared" si="5"/>
        <v>45660.874999999833</v>
      </c>
      <c r="C80" s="99">
        <v>8.352003579318204E-2</v>
      </c>
      <c r="D80" s="98">
        <f t="shared" si="3"/>
        <v>45660.874999999833</v>
      </c>
      <c r="E80" s="99">
        <f t="shared" si="4"/>
        <v>7.3520035793182045E-2</v>
      </c>
    </row>
    <row r="81" spans="2:5" x14ac:dyDescent="0.3">
      <c r="B81" s="98">
        <f t="shared" si="5"/>
        <v>45660.916666666497</v>
      </c>
      <c r="C81" s="99">
        <v>0.12103255111588933</v>
      </c>
      <c r="D81" s="98">
        <f t="shared" si="3"/>
        <v>45660.916666666497</v>
      </c>
      <c r="E81" s="99">
        <f t="shared" si="4"/>
        <v>0.11103255111588933</v>
      </c>
    </row>
    <row r="82" spans="2:5" x14ac:dyDescent="0.3">
      <c r="B82" s="98">
        <f t="shared" si="5"/>
        <v>45660.958333333161</v>
      </c>
      <c r="C82" s="99">
        <v>8.9287199398358302E-2</v>
      </c>
      <c r="D82" s="98">
        <f t="shared" si="3"/>
        <v>45660.958333333161</v>
      </c>
      <c r="E82" s="99">
        <f t="shared" si="4"/>
        <v>7.9287199398358307E-2</v>
      </c>
    </row>
    <row r="83" spans="2:5" x14ac:dyDescent="0.3">
      <c r="B83" s="98">
        <f t="shared" si="5"/>
        <v>45660.999999999825</v>
      </c>
      <c r="C83" s="99">
        <v>0.13801316867067115</v>
      </c>
      <c r="D83" s="98">
        <f t="shared" si="3"/>
        <v>45660.999999999825</v>
      </c>
      <c r="E83" s="99">
        <f t="shared" si="4"/>
        <v>0.12801316867067114</v>
      </c>
    </row>
    <row r="84" spans="2:5" x14ac:dyDescent="0.3">
      <c r="B84" s="98">
        <f t="shared" si="5"/>
        <v>45661.04166666649</v>
      </c>
      <c r="C84" s="99">
        <v>9.6028144998910964E-2</v>
      </c>
      <c r="D84" s="98">
        <f t="shared" si="3"/>
        <v>45661.04166666649</v>
      </c>
      <c r="E84" s="99">
        <f t="shared" si="4"/>
        <v>8.6028144998910969E-2</v>
      </c>
    </row>
    <row r="85" spans="2:5" x14ac:dyDescent="0.3">
      <c r="B85" s="98">
        <f t="shared" si="5"/>
        <v>45661.083333333154</v>
      </c>
      <c r="C85" s="99">
        <v>0.13918203107032912</v>
      </c>
      <c r="D85" s="98">
        <f t="shared" si="3"/>
        <v>45661.083333333154</v>
      </c>
      <c r="E85" s="99">
        <f t="shared" si="4"/>
        <v>0.12918203107032911</v>
      </c>
    </row>
    <row r="86" spans="2:5" x14ac:dyDescent="0.3">
      <c r="B86" s="98">
        <f t="shared" si="5"/>
        <v>45661.124999999818</v>
      </c>
      <c r="C86" s="99">
        <v>0.10684208029203104</v>
      </c>
      <c r="D86" s="98">
        <f t="shared" si="3"/>
        <v>45661.124999999818</v>
      </c>
      <c r="E86" s="99">
        <f t="shared" si="4"/>
        <v>9.6842080292031049E-2</v>
      </c>
    </row>
    <row r="87" spans="2:5" x14ac:dyDescent="0.3">
      <c r="B87" s="98">
        <f t="shared" si="5"/>
        <v>45661.166666666482</v>
      </c>
      <c r="C87" s="99">
        <v>8.1392106020097527E-2</v>
      </c>
      <c r="D87" s="98">
        <f t="shared" si="3"/>
        <v>45661.166666666482</v>
      </c>
      <c r="E87" s="99">
        <f t="shared" si="4"/>
        <v>7.1392106020097532E-2</v>
      </c>
    </row>
    <row r="88" spans="2:5" x14ac:dyDescent="0.3">
      <c r="B88" s="98">
        <f t="shared" si="5"/>
        <v>45661.208333333147</v>
      </c>
      <c r="C88" s="99">
        <v>0.15857170917925736</v>
      </c>
      <c r="D88" s="98">
        <f t="shared" si="3"/>
        <v>45661.208333333147</v>
      </c>
      <c r="E88" s="99">
        <f t="shared" si="4"/>
        <v>0.14857170917925736</v>
      </c>
    </row>
    <row r="89" spans="2:5" x14ac:dyDescent="0.3">
      <c r="B89" s="98">
        <f t="shared" si="5"/>
        <v>45661.249999999811</v>
      </c>
      <c r="C89" s="99">
        <v>0.14897384126536978</v>
      </c>
      <c r="D89" s="98">
        <f t="shared" si="3"/>
        <v>45661.249999999811</v>
      </c>
      <c r="E89" s="99">
        <f t="shared" si="4"/>
        <v>0.13897384126536977</v>
      </c>
    </row>
    <row r="90" spans="2:5" x14ac:dyDescent="0.3">
      <c r="B90" s="98">
        <f t="shared" si="5"/>
        <v>45661.291666666475</v>
      </c>
      <c r="C90" s="99">
        <v>0.14765883429542043</v>
      </c>
      <c r="D90" s="98">
        <f t="shared" si="3"/>
        <v>45661.291666666475</v>
      </c>
      <c r="E90" s="99">
        <f t="shared" si="4"/>
        <v>0.13765883429542042</v>
      </c>
    </row>
    <row r="91" spans="2:5" x14ac:dyDescent="0.3">
      <c r="B91" s="98">
        <f t="shared" si="5"/>
        <v>45661.333333333139</v>
      </c>
      <c r="C91" s="99">
        <v>0.15659199482980246</v>
      </c>
      <c r="D91" s="98">
        <f t="shared" si="3"/>
        <v>45661.333333333139</v>
      </c>
      <c r="E91" s="99">
        <f t="shared" si="4"/>
        <v>0.14659199482980245</v>
      </c>
    </row>
    <row r="92" spans="2:5" x14ac:dyDescent="0.3">
      <c r="B92" s="98">
        <f t="shared" si="5"/>
        <v>45661.374999999804</v>
      </c>
      <c r="C92" s="99">
        <v>0.12923296944179374</v>
      </c>
      <c r="D92" s="98">
        <f t="shared" si="3"/>
        <v>45661.374999999804</v>
      </c>
      <c r="E92" s="99">
        <f t="shared" si="4"/>
        <v>0.11923296944179375</v>
      </c>
    </row>
  </sheetData>
  <mergeCells count="160">
    <mergeCell ref="AD5:AE5"/>
    <mergeCell ref="AF5:AG5"/>
    <mergeCell ref="AH5:AI5"/>
    <mergeCell ref="AJ5:AK5"/>
    <mergeCell ref="AL5:AM5"/>
    <mergeCell ref="AN5:AO5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B4:AC4"/>
    <mergeCell ref="AD4:AE4"/>
    <mergeCell ref="AF4:AG4"/>
    <mergeCell ref="AH4:AI4"/>
    <mergeCell ref="AJ4:AK4"/>
    <mergeCell ref="R1:S1"/>
    <mergeCell ref="T1:U1"/>
    <mergeCell ref="V1:W1"/>
    <mergeCell ref="X1:Y1"/>
    <mergeCell ref="B1:C1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T5:U5"/>
    <mergeCell ref="V5:W5"/>
    <mergeCell ref="X5:Y5"/>
    <mergeCell ref="F1:G1"/>
    <mergeCell ref="F2:G2"/>
    <mergeCell ref="F3:G3"/>
    <mergeCell ref="N2:O2"/>
    <mergeCell ref="N3:O3"/>
    <mergeCell ref="F6:G6"/>
    <mergeCell ref="H1:I1"/>
    <mergeCell ref="H2:I2"/>
    <mergeCell ref="H3:I3"/>
    <mergeCell ref="H6:I6"/>
    <mergeCell ref="B2:C2"/>
    <mergeCell ref="B6:C6"/>
    <mergeCell ref="B3:C3"/>
    <mergeCell ref="D1:E1"/>
    <mergeCell ref="D2:E2"/>
    <mergeCell ref="D3:E3"/>
    <mergeCell ref="D6:E6"/>
    <mergeCell ref="N6:O6"/>
    <mergeCell ref="P2:Q2"/>
    <mergeCell ref="P3:Q3"/>
    <mergeCell ref="P6:Q6"/>
    <mergeCell ref="J1:K1"/>
    <mergeCell ref="J2:K2"/>
    <mergeCell ref="J3:K3"/>
    <mergeCell ref="J6:K6"/>
    <mergeCell ref="L1:M1"/>
    <mergeCell ref="L2:M2"/>
    <mergeCell ref="L3:M3"/>
    <mergeCell ref="L6:M6"/>
    <mergeCell ref="N1:O1"/>
    <mergeCell ref="P1:Q1"/>
    <mergeCell ref="AB3:AC3"/>
    <mergeCell ref="AB6:AC6"/>
    <mergeCell ref="V2:W2"/>
    <mergeCell ref="V3:W3"/>
    <mergeCell ref="V6:W6"/>
    <mergeCell ref="X2:Y2"/>
    <mergeCell ref="X3:Y3"/>
    <mergeCell ref="X6:Y6"/>
    <mergeCell ref="R2:S2"/>
    <mergeCell ref="R3:S3"/>
    <mergeCell ref="R6:S6"/>
    <mergeCell ref="T2:U2"/>
    <mergeCell ref="T3:U3"/>
    <mergeCell ref="T6:U6"/>
    <mergeCell ref="Z5:AA5"/>
    <mergeCell ref="AB5:AC5"/>
    <mergeCell ref="AN1:AO1"/>
    <mergeCell ref="AN2:AO2"/>
    <mergeCell ref="AN3:AO3"/>
    <mergeCell ref="AN6:AO6"/>
    <mergeCell ref="AH1:AI1"/>
    <mergeCell ref="AH2:AI2"/>
    <mergeCell ref="AH3:AI3"/>
    <mergeCell ref="AH6:AI6"/>
    <mergeCell ref="AJ1:AK1"/>
    <mergeCell ref="AJ2:AK2"/>
    <mergeCell ref="AJ3:AK3"/>
    <mergeCell ref="AJ6:AK6"/>
    <mergeCell ref="AL4:AM4"/>
    <mergeCell ref="AN4:AO4"/>
    <mergeCell ref="B8:C8"/>
    <mergeCell ref="B9:C9"/>
    <mergeCell ref="D8:E8"/>
    <mergeCell ref="D9:E9"/>
    <mergeCell ref="F8:G8"/>
    <mergeCell ref="F9:G9"/>
    <mergeCell ref="AL1:AM1"/>
    <mergeCell ref="AL2:AM2"/>
    <mergeCell ref="AL3:AM3"/>
    <mergeCell ref="AL6:AM6"/>
    <mergeCell ref="AD1:AE1"/>
    <mergeCell ref="AD2:AE2"/>
    <mergeCell ref="AD3:AE3"/>
    <mergeCell ref="AD6:AE6"/>
    <mergeCell ref="AF1:AG1"/>
    <mergeCell ref="AF2:AG2"/>
    <mergeCell ref="AF3:AG3"/>
    <mergeCell ref="AF6:AG6"/>
    <mergeCell ref="Z1:AA1"/>
    <mergeCell ref="Z2:AA2"/>
    <mergeCell ref="Z3:AA3"/>
    <mergeCell ref="Z6:AA6"/>
    <mergeCell ref="AB1:AC1"/>
    <mergeCell ref="AB2:AC2"/>
    <mergeCell ref="N8:O8"/>
    <mergeCell ref="N9:O9"/>
    <mergeCell ref="P8:Q8"/>
    <mergeCell ref="P9:Q9"/>
    <mergeCell ref="R8:S8"/>
    <mergeCell ref="R9:S9"/>
    <mergeCell ref="H8:I8"/>
    <mergeCell ref="H9:I9"/>
    <mergeCell ref="J8:K8"/>
    <mergeCell ref="J9:K9"/>
    <mergeCell ref="L8:M8"/>
    <mergeCell ref="L9:M9"/>
    <mergeCell ref="Z8:AA8"/>
    <mergeCell ref="Z9:AA9"/>
    <mergeCell ref="AB8:AC8"/>
    <mergeCell ref="AB9:AC9"/>
    <mergeCell ref="AD8:AE8"/>
    <mergeCell ref="AD9:AE9"/>
    <mergeCell ref="T8:U8"/>
    <mergeCell ref="T9:U9"/>
    <mergeCell ref="V8:W8"/>
    <mergeCell ref="V9:W9"/>
    <mergeCell ref="X8:Y8"/>
    <mergeCell ref="X9:Y9"/>
    <mergeCell ref="AL8:AM8"/>
    <mergeCell ref="AL9:AM9"/>
    <mergeCell ref="AN8:AO8"/>
    <mergeCell ref="AN9:AO9"/>
    <mergeCell ref="AF8:AG8"/>
    <mergeCell ref="AF9:AG9"/>
    <mergeCell ref="AH8:AI8"/>
    <mergeCell ref="AH9:AI9"/>
    <mergeCell ref="AJ8:AK8"/>
    <mergeCell ref="AJ9:AK9"/>
  </mergeCells>
  <dataValidations count="3">
    <dataValidation type="list" allowBlank="1" showInputMessage="1" showErrorMessage="1" sqref="B2 D2 F2 H2 J2 L2 N2 P2 R2 T2 V2 X2 Z2 AB2 AD2 AF2 AH2 AJ2 AL2 AN2" xr:uid="{CF767DC3-A7F2-4A8E-8100-1E65F038A803}">
      <formula1>"Availability Factor, Export price, Import price,Local demand"</formula1>
    </dataValidation>
    <dataValidation type="list" allowBlank="1" showInputMessage="1" showErrorMessage="1" sqref="B4:XFD4" xr:uid="{F62E0509-605B-4DCD-8A96-0C898B27904D}">
      <formula1>Buildings</formula1>
    </dataValidation>
    <dataValidation type="list" allowBlank="1" showInputMessage="1" showErrorMessage="1" sqref="B5:XFD5" xr:uid="{234564FC-10B1-440F-97EC-014DB45EA66D}">
      <formula1>Districts_named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77CD855-EDB3-403B-9F5D-6848312BEED4}">
          <x14:formula1>
            <xm:f>Commodities!$D$2:$O$2</xm:f>
          </x14:formula1>
          <xm:sqref>B3:AO3</xm:sqref>
        </x14:dataValidation>
        <x14:dataValidation type="list" allowBlank="1" showInputMessage="1" showErrorMessage="1" xr:uid="{2510D074-049E-4064-B95D-BD6687BBE79B}">
          <x14:formula1>
            <xm:f>Units!$D$2:$W$2</xm:f>
          </x14:formula1>
          <xm:sqref>B6:AO7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5E342-0AD8-47C8-8895-75BE46D48980}">
  <sheetPr codeName="Sheet6"/>
  <dimension ref="A1:BB73"/>
  <sheetViews>
    <sheetView zoomScale="85" zoomScaleNormal="85" workbookViewId="0">
      <selection activeCell="AC3" sqref="AC3"/>
    </sheetView>
  </sheetViews>
  <sheetFormatPr defaultRowHeight="18" x14ac:dyDescent="0.35"/>
  <cols>
    <col min="1" max="1" width="4" style="110" bestFit="1" customWidth="1"/>
    <col min="2" max="2" width="27.5546875" style="42" customWidth="1"/>
    <col min="3" max="3" width="23.33203125" style="43" customWidth="1"/>
    <col min="4" max="4" width="22.6640625" style="43" customWidth="1"/>
    <col min="5" max="28" width="7.77734375" style="43" customWidth="1"/>
    <col min="29" max="29" width="23.33203125" style="43" customWidth="1"/>
    <col min="30" max="30" width="22.6640625" style="43" customWidth="1"/>
    <col min="31" max="54" width="7.77734375" style="43" customWidth="1"/>
    <col min="55" max="16384" width="8.88671875" style="44"/>
  </cols>
  <sheetData>
    <row r="1" spans="1:54" s="48" customFormat="1" ht="18.600000000000001" thickBot="1" x14ac:dyDescent="0.4">
      <c r="A1" s="109"/>
      <c r="B1" s="46" t="s">
        <v>35</v>
      </c>
      <c r="C1" s="193">
        <v>1</v>
      </c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5"/>
      <c r="AC1" s="193">
        <v>1</v>
      </c>
      <c r="AD1" s="194"/>
      <c r="AE1" s="194"/>
      <c r="AF1" s="194"/>
      <c r="AG1" s="194"/>
      <c r="AH1" s="194"/>
      <c r="AI1" s="194"/>
      <c r="AJ1" s="194"/>
      <c r="AK1" s="194"/>
      <c r="AL1" s="194"/>
      <c r="AM1" s="194"/>
      <c r="AN1" s="194"/>
      <c r="AO1" s="194"/>
      <c r="AP1" s="194"/>
      <c r="AQ1" s="194"/>
      <c r="AR1" s="194"/>
      <c r="AS1" s="194"/>
      <c r="AT1" s="194"/>
      <c r="AU1" s="194"/>
      <c r="AV1" s="194"/>
      <c r="AW1" s="194"/>
      <c r="AX1" s="194"/>
      <c r="AY1" s="194"/>
      <c r="AZ1" s="194"/>
      <c r="BA1" s="194"/>
      <c r="BB1" s="195"/>
    </row>
    <row r="2" spans="1:54" ht="18.600000000000001" thickBot="1" x14ac:dyDescent="0.4">
      <c r="B2" s="41" t="s">
        <v>5</v>
      </c>
      <c r="C2" s="192" t="s">
        <v>255</v>
      </c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1"/>
      <c r="AC2" s="192" t="s">
        <v>256</v>
      </c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0"/>
      <c r="AS2" s="190"/>
      <c r="AT2" s="190"/>
      <c r="AU2" s="190"/>
      <c r="AV2" s="190"/>
      <c r="AW2" s="190"/>
      <c r="AX2" s="190"/>
      <c r="AY2" s="190"/>
      <c r="AZ2" s="190"/>
      <c r="BA2" s="190"/>
      <c r="BB2" s="191"/>
    </row>
    <row r="3" spans="1:54" ht="18.600000000000001" thickBot="1" x14ac:dyDescent="0.4">
      <c r="B3" s="41"/>
      <c r="C3" s="71"/>
      <c r="D3" s="158"/>
      <c r="E3" s="190">
        <v>1</v>
      </c>
      <c r="F3" s="190"/>
      <c r="G3" s="190">
        <v>2</v>
      </c>
      <c r="H3" s="191"/>
      <c r="I3" s="190">
        <v>3</v>
      </c>
      <c r="J3" s="191"/>
      <c r="K3" s="190">
        <v>4</v>
      </c>
      <c r="L3" s="191"/>
      <c r="M3" s="190">
        <v>5</v>
      </c>
      <c r="N3" s="191"/>
      <c r="O3" s="190">
        <v>6</v>
      </c>
      <c r="P3" s="191"/>
      <c r="Q3" s="190">
        <v>7</v>
      </c>
      <c r="R3" s="191"/>
      <c r="S3" s="190">
        <v>8</v>
      </c>
      <c r="T3" s="191"/>
      <c r="U3" s="190">
        <v>9</v>
      </c>
      <c r="V3" s="191"/>
      <c r="W3" s="190">
        <v>10</v>
      </c>
      <c r="X3" s="191"/>
      <c r="Y3" s="190">
        <v>11</v>
      </c>
      <c r="Z3" s="191"/>
      <c r="AA3" s="190">
        <v>12</v>
      </c>
      <c r="AB3" s="191"/>
      <c r="AC3" s="71"/>
      <c r="AD3" s="158"/>
      <c r="AE3" s="190">
        <v>1</v>
      </c>
      <c r="AF3" s="190"/>
      <c r="AG3" s="190">
        <v>2</v>
      </c>
      <c r="AH3" s="191"/>
      <c r="AI3" s="190">
        <v>3</v>
      </c>
      <c r="AJ3" s="191"/>
      <c r="AK3" s="190">
        <v>4</v>
      </c>
      <c r="AL3" s="191"/>
      <c r="AM3" s="190">
        <v>5</v>
      </c>
      <c r="AN3" s="191"/>
      <c r="AO3" s="190">
        <v>6</v>
      </c>
      <c r="AP3" s="191"/>
      <c r="AQ3" s="190">
        <v>7</v>
      </c>
      <c r="AR3" s="191"/>
      <c r="AS3" s="190">
        <v>8</v>
      </c>
      <c r="AT3" s="191"/>
      <c r="AU3" s="190">
        <v>9</v>
      </c>
      <c r="AV3" s="191"/>
      <c r="AW3" s="190">
        <v>10</v>
      </c>
      <c r="AX3" s="191"/>
      <c r="AY3" s="190">
        <v>11</v>
      </c>
      <c r="AZ3" s="191"/>
      <c r="BA3" s="190">
        <v>12</v>
      </c>
      <c r="BB3" s="191"/>
    </row>
    <row r="4" spans="1:54" ht="18.600000000000001" thickBot="1" x14ac:dyDescent="0.4">
      <c r="B4" s="41" t="s">
        <v>154</v>
      </c>
      <c r="C4" s="196" t="s">
        <v>217</v>
      </c>
      <c r="D4" s="197"/>
      <c r="E4" s="190" t="str" cm="1">
        <f t="array" ref="E4">IF(COUNTA(INDEX(Buildings, E3))&gt;0,INDEX(Buildings, E3),"")</f>
        <v>SF1980_2F</v>
      </c>
      <c r="F4" s="191"/>
      <c r="G4" s="190" t="str" cm="1">
        <f t="array" ref="G4">IF(COUNTA(INDEX(Buildings, G3))&gt;0,INDEX(Buildings, G3),"")</f>
        <v>MF1990_3F</v>
      </c>
      <c r="H4" s="191"/>
      <c r="I4" s="190" t="str" cm="1">
        <f t="array" ref="I4">IF(COUNTA(INDEX(Buildings, I3))&gt;0,INDEX(Buildings, I3),"")</f>
        <v>MF2005_1F</v>
      </c>
      <c r="J4" s="191"/>
      <c r="K4" s="190" t="str" cm="1">
        <f t="array" ref="K4">IF(COUNTA(INDEX(Buildings, K3))&gt;0,INDEX(Buildings, K3),"")</f>
        <v>SF2012_4F</v>
      </c>
      <c r="L4" s="191"/>
      <c r="M4" s="190" t="str" cm="1">
        <f t="array" ref="M4">IF(COUNTA(INDEX(Buildings, M3))&gt;0,INDEX(Buildings, M3),"")</f>
        <v/>
      </c>
      <c r="N4" s="191"/>
      <c r="O4" s="190" t="str" cm="1">
        <f t="array" ref="O4">IF(COUNTA(INDEX(Buildings, O3))&gt;0,INDEX(Buildings, O3),"")</f>
        <v/>
      </c>
      <c r="P4" s="191"/>
      <c r="Q4" s="190" t="str" cm="1">
        <f t="array" ref="Q4">IF(COUNTA(INDEX(Buildings, Q3))&gt;0,INDEX(Buildings, Q3),"")</f>
        <v/>
      </c>
      <c r="R4" s="191"/>
      <c r="S4" s="190" t="str" cm="1">
        <f t="array" ref="S4">IF(COUNTA(INDEX(Buildings, S3))&gt;0,INDEX(Buildings, S3),"")</f>
        <v/>
      </c>
      <c r="T4" s="191"/>
      <c r="U4" s="190" t="str" cm="1">
        <f t="array" ref="U4">IF(COUNTA(INDEX(Buildings, U3))&gt;0,INDEX(Buildings, U3),"")</f>
        <v/>
      </c>
      <c r="V4" s="191"/>
      <c r="W4" s="190" t="str" cm="1">
        <f t="array" ref="W4">IF(COUNTA(INDEX(Buildings, W3))&gt;0,INDEX(Buildings, W3),"")</f>
        <v/>
      </c>
      <c r="X4" s="191"/>
      <c r="Y4" s="190" t="str" cm="1">
        <f t="array" ref="Y4">IF(COUNTA(INDEX(Buildings, Y3))&gt;0,INDEX(Buildings, Y3),"")</f>
        <v/>
      </c>
      <c r="Z4" s="191"/>
      <c r="AA4" s="190" t="str" cm="1">
        <f t="array" ref="AA4">IF(COUNTA(INDEX(Buildings, AA3))&gt;0,INDEX(Buildings, AA3),"")</f>
        <v/>
      </c>
      <c r="AB4" s="191"/>
      <c r="AC4" s="196" t="s">
        <v>217</v>
      </c>
      <c r="AD4" s="197"/>
      <c r="AE4" s="190" t="str" cm="1">
        <f t="array" ref="AE4">IF(COUNTA(INDEX(Buildings, AE3))&gt;0,INDEX(Buildings, AE3),"")</f>
        <v>SF1980_2F</v>
      </c>
      <c r="AF4" s="191"/>
      <c r="AG4" s="190" t="str" cm="1">
        <f t="array" ref="AG4">IF(COUNTA(INDEX(Buildings, AG3))&gt;0,INDEX(Buildings, AG3),"")</f>
        <v>MF1990_3F</v>
      </c>
      <c r="AH4" s="191"/>
      <c r="AI4" s="190" t="str" cm="1">
        <f t="array" ref="AI4">IF(COUNTA(INDEX(Buildings, AI3))&gt;0,INDEX(Buildings, AI3),"")</f>
        <v>MF2005_1F</v>
      </c>
      <c r="AJ4" s="191"/>
      <c r="AK4" s="190" t="str" cm="1">
        <f t="array" ref="AK4">IF(COUNTA(INDEX(Buildings, AK3))&gt;0,INDEX(Buildings, AK3),"")</f>
        <v>SF2012_4F</v>
      </c>
      <c r="AL4" s="191"/>
      <c r="AM4" s="190" t="str" cm="1">
        <f t="array" ref="AM4">IF(COUNTA(INDEX(Buildings, AM3))&gt;0,INDEX(Buildings, AM3),"")</f>
        <v/>
      </c>
      <c r="AN4" s="191"/>
      <c r="AO4" s="190" t="str" cm="1">
        <f t="array" ref="AO4">IF(COUNTA(INDEX(Buildings, AO3))&gt;0,INDEX(Buildings, AO3),"")</f>
        <v/>
      </c>
      <c r="AP4" s="191"/>
      <c r="AQ4" s="190" t="str" cm="1">
        <f t="array" ref="AQ4">IF(COUNTA(INDEX(Buildings, AQ3))&gt;0,INDEX(Buildings, AQ3),"")</f>
        <v/>
      </c>
      <c r="AR4" s="191"/>
      <c r="AS4" s="190" t="str" cm="1">
        <f t="array" ref="AS4">IF(COUNTA(INDEX(Buildings, AS3))&gt;0,INDEX(Buildings, AS3),"")</f>
        <v/>
      </c>
      <c r="AT4" s="191"/>
      <c r="AU4" s="190" t="str" cm="1">
        <f t="array" ref="AU4">IF(COUNTA(INDEX(Buildings, AU3))&gt;0,INDEX(Buildings, AU3),"")</f>
        <v/>
      </c>
      <c r="AV4" s="191"/>
      <c r="AW4" s="190" t="str" cm="1">
        <f t="array" ref="AW4">IF(COUNTA(INDEX(Buildings, AW3))&gt;0,INDEX(Buildings, AW3),"")</f>
        <v/>
      </c>
      <c r="AX4" s="191"/>
      <c r="AY4" s="190" t="str" cm="1">
        <f t="array" ref="AY4">IF(COUNTA(INDEX(Buildings, AY3))&gt;0,INDEX(Buildings, AY3),"")</f>
        <v/>
      </c>
      <c r="AZ4" s="191"/>
      <c r="BA4" s="190" t="str" cm="1">
        <f t="array" ref="BA4">IF(COUNTA(INDEX(Buildings, BA3))&gt;0,INDEX(Buildings, BA3),"")</f>
        <v/>
      </c>
      <c r="BB4" s="191"/>
    </row>
    <row r="5" spans="1:54" ht="18.600000000000001" thickBot="1" x14ac:dyDescent="0.4">
      <c r="B5" s="41" t="s">
        <v>216</v>
      </c>
      <c r="C5" s="198"/>
      <c r="D5" s="199"/>
      <c r="E5" s="190">
        <v>5</v>
      </c>
      <c r="F5" s="191"/>
      <c r="G5" s="190">
        <v>4</v>
      </c>
      <c r="H5" s="191"/>
      <c r="I5" s="190">
        <v>2</v>
      </c>
      <c r="J5" s="191"/>
      <c r="K5" s="190">
        <v>1</v>
      </c>
      <c r="L5" s="191"/>
      <c r="M5" s="190"/>
      <c r="N5" s="191"/>
      <c r="O5" s="190"/>
      <c r="P5" s="191"/>
      <c r="Q5" s="190"/>
      <c r="R5" s="191"/>
      <c r="S5" s="190"/>
      <c r="T5" s="191"/>
      <c r="U5" s="190"/>
      <c r="V5" s="191"/>
      <c r="W5" s="190"/>
      <c r="X5" s="191"/>
      <c r="Y5" s="190"/>
      <c r="Z5" s="191"/>
      <c r="AA5" s="190"/>
      <c r="AB5" s="191"/>
      <c r="AC5" s="198"/>
      <c r="AD5" s="199"/>
      <c r="AE5" s="190">
        <v>0</v>
      </c>
      <c r="AF5" s="191"/>
      <c r="AG5" s="190">
        <v>9</v>
      </c>
      <c r="AH5" s="191"/>
      <c r="AI5" s="190">
        <v>2</v>
      </c>
      <c r="AJ5" s="191"/>
      <c r="AK5" s="190">
        <v>0</v>
      </c>
      <c r="AL5" s="191"/>
      <c r="AM5" s="190"/>
      <c r="AN5" s="191"/>
      <c r="AO5" s="190"/>
      <c r="AP5" s="191"/>
      <c r="AQ5" s="190"/>
      <c r="AR5" s="191"/>
      <c r="AS5" s="190"/>
      <c r="AT5" s="191"/>
      <c r="AU5" s="190"/>
      <c r="AV5" s="191"/>
      <c r="AW5" s="190"/>
      <c r="AX5" s="191"/>
      <c r="AY5" s="190"/>
      <c r="AZ5" s="191"/>
      <c r="BA5" s="190"/>
      <c r="BB5" s="191"/>
    </row>
    <row r="6" spans="1:54" s="40" customFormat="1" ht="18.600000000000001" thickBot="1" x14ac:dyDescent="0.4">
      <c r="A6" s="111"/>
      <c r="B6" s="45" t="s">
        <v>218</v>
      </c>
      <c r="C6" s="4" t="s">
        <v>220</v>
      </c>
      <c r="D6" s="4" t="s">
        <v>221</v>
      </c>
      <c r="E6" s="4" t="s">
        <v>222</v>
      </c>
      <c r="F6" s="4" t="s">
        <v>223</v>
      </c>
      <c r="G6" s="4" t="s">
        <v>222</v>
      </c>
      <c r="H6" s="4" t="s">
        <v>223</v>
      </c>
      <c r="I6" s="4" t="s">
        <v>222</v>
      </c>
      <c r="J6" s="4" t="s">
        <v>223</v>
      </c>
      <c r="K6" s="4" t="s">
        <v>222</v>
      </c>
      <c r="L6" s="4" t="s">
        <v>223</v>
      </c>
      <c r="M6" s="4" t="s">
        <v>222</v>
      </c>
      <c r="N6" s="4" t="s">
        <v>223</v>
      </c>
      <c r="O6" s="4" t="s">
        <v>222</v>
      </c>
      <c r="P6" s="4" t="s">
        <v>223</v>
      </c>
      <c r="Q6" s="4" t="s">
        <v>222</v>
      </c>
      <c r="R6" s="4" t="s">
        <v>223</v>
      </c>
      <c r="S6" s="4" t="s">
        <v>222</v>
      </c>
      <c r="T6" s="4" t="s">
        <v>223</v>
      </c>
      <c r="U6" s="4" t="s">
        <v>222</v>
      </c>
      <c r="V6" s="4" t="s">
        <v>223</v>
      </c>
      <c r="W6" s="4" t="s">
        <v>222</v>
      </c>
      <c r="X6" s="4" t="s">
        <v>223</v>
      </c>
      <c r="Y6" s="4" t="s">
        <v>222</v>
      </c>
      <c r="Z6" s="4" t="s">
        <v>223</v>
      </c>
      <c r="AA6" s="4" t="s">
        <v>222</v>
      </c>
      <c r="AB6" s="4" t="s">
        <v>223</v>
      </c>
      <c r="AC6" s="4" t="s">
        <v>220</v>
      </c>
      <c r="AD6" s="4" t="s">
        <v>221</v>
      </c>
      <c r="AE6" s="4" t="s">
        <v>222</v>
      </c>
      <c r="AF6" s="4" t="s">
        <v>223</v>
      </c>
      <c r="AG6" s="4" t="s">
        <v>222</v>
      </c>
      <c r="AH6" s="4" t="s">
        <v>223</v>
      </c>
      <c r="AI6" s="4" t="s">
        <v>222</v>
      </c>
      <c r="AJ6" s="4" t="s">
        <v>223</v>
      </c>
      <c r="AK6" s="4" t="s">
        <v>222</v>
      </c>
      <c r="AL6" s="4" t="s">
        <v>223</v>
      </c>
      <c r="AM6" s="4" t="s">
        <v>222</v>
      </c>
      <c r="AN6" s="4" t="s">
        <v>223</v>
      </c>
      <c r="AO6" s="4" t="s">
        <v>222</v>
      </c>
      <c r="AP6" s="4" t="s">
        <v>223</v>
      </c>
      <c r="AQ6" s="4" t="s">
        <v>222</v>
      </c>
      <c r="AR6" s="4" t="s">
        <v>223</v>
      </c>
      <c r="AS6" s="4" t="s">
        <v>222</v>
      </c>
      <c r="AT6" s="4" t="s">
        <v>223</v>
      </c>
      <c r="AU6" s="4" t="s">
        <v>222</v>
      </c>
      <c r="AV6" s="4" t="s">
        <v>223</v>
      </c>
      <c r="AW6" s="4" t="s">
        <v>222</v>
      </c>
      <c r="AX6" s="4" t="s">
        <v>223</v>
      </c>
      <c r="AY6" s="4" t="s">
        <v>222</v>
      </c>
      <c r="AZ6" s="4" t="s">
        <v>223</v>
      </c>
      <c r="BA6" s="4" t="s">
        <v>222</v>
      </c>
      <c r="BB6" s="4" t="s">
        <v>223</v>
      </c>
    </row>
    <row r="7" spans="1:54" x14ac:dyDescent="0.35">
      <c r="A7" s="155">
        <v>1</v>
      </c>
      <c r="B7" s="42" t="str" cm="1">
        <f t="array" aca="1" ref="B7" ca="1">IF(INDIRECT("Units!" &amp; CHAR(67 + A7) &amp; "9")="District level", IF(COUNTA(INDEX(Units_named, A7))&gt;0, INDEX(Units_named, A7), ""), "")</f>
        <v>Gas Turbine</v>
      </c>
      <c r="C7" s="43">
        <v>1</v>
      </c>
      <c r="D7" s="43">
        <v>0</v>
      </c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43">
        <v>0</v>
      </c>
      <c r="AD7" s="43">
        <v>0</v>
      </c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  <c r="AX7" s="160"/>
      <c r="AY7" s="160"/>
      <c r="AZ7" s="160"/>
      <c r="BA7" s="160"/>
      <c r="BB7" s="160"/>
    </row>
    <row r="8" spans="1:54" x14ac:dyDescent="0.35">
      <c r="A8" s="110">
        <v>2</v>
      </c>
      <c r="B8" s="42" t="str" cm="1">
        <f t="array" aca="1" ref="B8" ca="1">IF(INDIRECT("Units!" &amp; CHAR(67 + A8) &amp; "9")="District level", IF(COUNTA(INDEX(Units_named, A8))&gt;0, INDEX(Units_named, A8), ""), "")</f>
        <v>Wind Mill</v>
      </c>
      <c r="C8" s="43">
        <v>0</v>
      </c>
      <c r="D8" s="43">
        <v>3</v>
      </c>
      <c r="E8" s="160"/>
      <c r="F8" s="160"/>
      <c r="G8" s="160"/>
      <c r="H8" s="160"/>
      <c r="I8" s="160"/>
      <c r="J8" s="160"/>
      <c r="K8" s="160"/>
      <c r="L8" s="160"/>
      <c r="M8" s="160"/>
      <c r="N8" s="160"/>
      <c r="O8" s="160"/>
      <c r="P8" s="160"/>
      <c r="Q8" s="160"/>
      <c r="R8" s="160"/>
      <c r="S8" s="160"/>
      <c r="T8" s="160"/>
      <c r="U8" s="160"/>
      <c r="V8" s="160"/>
      <c r="W8" s="160"/>
      <c r="X8" s="160"/>
      <c r="Y8" s="160"/>
      <c r="Z8" s="160"/>
      <c r="AA8" s="160"/>
      <c r="AB8" s="160"/>
      <c r="AC8" s="43">
        <v>0</v>
      </c>
      <c r="AD8" s="43">
        <v>0</v>
      </c>
      <c r="AE8" s="160"/>
      <c r="AF8" s="160"/>
      <c r="AG8" s="160"/>
      <c r="AH8" s="160"/>
      <c r="AI8" s="160"/>
      <c r="AJ8" s="160"/>
      <c r="AK8" s="160"/>
      <c r="AL8" s="160"/>
      <c r="AM8" s="160"/>
      <c r="AN8" s="160"/>
      <c r="AO8" s="160"/>
      <c r="AP8" s="160"/>
      <c r="AQ8" s="160"/>
      <c r="AR8" s="160"/>
      <c r="AS8" s="160"/>
      <c r="AT8" s="160"/>
      <c r="AU8" s="160"/>
      <c r="AV8" s="160"/>
      <c r="AW8" s="160"/>
      <c r="AX8" s="160"/>
      <c r="AY8" s="160"/>
      <c r="AZ8" s="160"/>
      <c r="BA8" s="160"/>
      <c r="BB8" s="160"/>
    </row>
    <row r="9" spans="1:54" x14ac:dyDescent="0.35">
      <c r="A9" s="110">
        <v>3</v>
      </c>
      <c r="B9" s="42" t="str" cm="1">
        <f t="array" aca="1" ref="B9" ca="1">IF(INDIRECT("Units!" &amp; CHAR(67 + A9) &amp; "9")="District level", IF(COUNTA(INDEX(Units_named, A9))&gt;0, INDEX(Units_named, A9), ""), "")</f>
        <v>CHP Wood</v>
      </c>
      <c r="C9" s="43">
        <v>0</v>
      </c>
      <c r="D9" s="43">
        <v>0</v>
      </c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/>
      <c r="X9" s="160"/>
      <c r="Y9" s="160"/>
      <c r="Z9" s="160"/>
      <c r="AA9" s="160"/>
      <c r="AB9" s="160"/>
      <c r="AC9" s="43">
        <v>0</v>
      </c>
      <c r="AD9" s="43">
        <v>0</v>
      </c>
      <c r="AE9" s="160"/>
      <c r="AF9" s="160"/>
      <c r="AG9" s="160"/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60"/>
    </row>
    <row r="10" spans="1:54" x14ac:dyDescent="0.35">
      <c r="A10" s="110">
        <v>4</v>
      </c>
      <c r="B10" s="42" t="str" cm="1">
        <f t="array" aca="1" ref="B10" ca="1">IF(INDIRECT("Units!" &amp; CHAR(67 + A10) &amp; "9")="District level", IF(COUNTA(INDEX(Units_named, A10))&gt;0, INDEX(Units_named, A10), ""), "")</f>
        <v/>
      </c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E10" s="160"/>
      <c r="AF10" s="160"/>
      <c r="AG10" s="160"/>
      <c r="AH10" s="160"/>
      <c r="AI10" s="160"/>
      <c r="AJ10" s="160"/>
      <c r="AK10" s="160"/>
      <c r="AL10" s="160"/>
      <c r="AM10" s="160"/>
      <c r="AN10" s="160"/>
      <c r="AO10" s="160"/>
      <c r="AP10" s="160"/>
      <c r="AQ10" s="160"/>
      <c r="AR10" s="160"/>
      <c r="AS10" s="160"/>
      <c r="AT10" s="160"/>
      <c r="AU10" s="160"/>
      <c r="AV10" s="160"/>
      <c r="AW10" s="160"/>
      <c r="AX10" s="160"/>
      <c r="AY10" s="160"/>
      <c r="AZ10" s="160"/>
      <c r="BA10" s="160"/>
      <c r="BB10" s="160"/>
    </row>
    <row r="11" spans="1:54" x14ac:dyDescent="0.35">
      <c r="A11" s="110">
        <v>5</v>
      </c>
      <c r="B11" s="42" t="str" cm="1">
        <f t="array" aca="1" ref="B11" ca="1">IF(INDIRECT("Units!" &amp; CHAR(67 + A11) &amp; "9")="District level", IF(COUNTA(INDEX(Units_named, A11))&gt;0, INDEX(Units_named, A11), ""), "")</f>
        <v>PV Farm</v>
      </c>
      <c r="C11" s="43">
        <v>0</v>
      </c>
      <c r="D11" s="43">
        <v>10</v>
      </c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43">
        <v>0</v>
      </c>
      <c r="AD11" s="43">
        <v>10</v>
      </c>
      <c r="AE11" s="160"/>
      <c r="AF11" s="160"/>
      <c r="AG11" s="160"/>
      <c r="AH11" s="160"/>
      <c r="AI11" s="160"/>
      <c r="AJ11" s="160"/>
      <c r="AK11" s="160"/>
      <c r="AL11" s="160"/>
      <c r="AM11" s="160"/>
      <c r="AN11" s="160"/>
      <c r="AO11" s="160"/>
      <c r="AP11" s="160"/>
      <c r="AQ11" s="160"/>
      <c r="AR11" s="160"/>
      <c r="AS11" s="160"/>
      <c r="AT11" s="160"/>
      <c r="AU11" s="160"/>
      <c r="AV11" s="160"/>
      <c r="AW11" s="160"/>
      <c r="AX11" s="160"/>
      <c r="AY11" s="160"/>
      <c r="AZ11" s="160"/>
      <c r="BA11" s="160"/>
      <c r="BB11" s="160"/>
    </row>
    <row r="12" spans="1:54" x14ac:dyDescent="0.35">
      <c r="A12" s="110">
        <v>6</v>
      </c>
      <c r="B12" s="42" t="str" cm="1">
        <f t="array" aca="1" ref="B12" ca="1">IF(INDIRECT("Units!" &amp; CHAR(67 + A12) &amp; "9")="District level", IF(COUNTA(INDEX(Units_named, A12))&gt;0, INDEX(Units_named, A12), ""), "")</f>
        <v/>
      </c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E12" s="160"/>
      <c r="AF12" s="160"/>
      <c r="AG12" s="160"/>
      <c r="AH12" s="160"/>
      <c r="AI12" s="160"/>
      <c r="AJ12" s="160"/>
      <c r="AK12" s="160"/>
      <c r="AL12" s="160"/>
      <c r="AM12" s="160"/>
      <c r="AN12" s="160"/>
      <c r="AO12" s="160"/>
      <c r="AP12" s="160"/>
      <c r="AQ12" s="160"/>
      <c r="AR12" s="160"/>
      <c r="AS12" s="160"/>
      <c r="AT12" s="160"/>
      <c r="AU12" s="160"/>
      <c r="AV12" s="160"/>
      <c r="AW12" s="160"/>
      <c r="AX12" s="160"/>
      <c r="AY12" s="160"/>
      <c r="AZ12" s="160"/>
      <c r="BA12" s="160"/>
      <c r="BB12" s="160"/>
    </row>
    <row r="13" spans="1:54" x14ac:dyDescent="0.35">
      <c r="A13" s="110">
        <v>7</v>
      </c>
      <c r="B13" s="42" t="str" cm="1">
        <f t="array" aca="1" ref="B13" ca="1">IF(INDIRECT("Units!" &amp; CHAR(67 + A13) &amp; "9")="District level", IF(COUNTA(INDEX(Units_named, A13))&gt;0, INDEX(Units_named, A13), ""), "")</f>
        <v/>
      </c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E13" s="160"/>
      <c r="AF13" s="160"/>
      <c r="AG13" s="160"/>
      <c r="AH13" s="160"/>
      <c r="AI13" s="160"/>
      <c r="AJ13" s="160"/>
      <c r="AK13" s="160"/>
      <c r="AL13" s="160"/>
      <c r="AM13" s="160"/>
      <c r="AN13" s="160"/>
      <c r="AO13" s="160"/>
      <c r="AP13" s="160"/>
      <c r="AQ13" s="160"/>
      <c r="AR13" s="160"/>
      <c r="AS13" s="160"/>
      <c r="AT13" s="160"/>
      <c r="AU13" s="160"/>
      <c r="AV13" s="160"/>
      <c r="AW13" s="160"/>
      <c r="AX13" s="160"/>
      <c r="AY13" s="160"/>
      <c r="AZ13" s="160"/>
      <c r="BA13" s="160"/>
      <c r="BB13" s="160"/>
    </row>
    <row r="14" spans="1:54" x14ac:dyDescent="0.35">
      <c r="A14" s="110">
        <v>8</v>
      </c>
      <c r="B14" s="42" t="str" cm="1">
        <f t="array" aca="1" ref="B14" ca="1">IF(INDIRECT("Units!" &amp; CHAR(67 + A14) &amp; "9")="District level", IF(COUNTA(INDEX(Units_named, A14))&gt;0, INDEX(Units_named, A14), ""), "")</f>
        <v/>
      </c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E14" s="160"/>
      <c r="AF14" s="160"/>
      <c r="AG14" s="160"/>
      <c r="AH14" s="160"/>
      <c r="AI14" s="160"/>
      <c r="AJ14" s="160"/>
      <c r="AK14" s="160"/>
      <c r="AL14" s="160"/>
      <c r="AM14" s="160"/>
      <c r="AN14" s="160"/>
      <c r="AO14" s="160"/>
      <c r="AP14" s="160"/>
      <c r="AQ14" s="160"/>
      <c r="AR14" s="160"/>
      <c r="AS14" s="160"/>
      <c r="AT14" s="160"/>
      <c r="AU14" s="160"/>
      <c r="AV14" s="160"/>
      <c r="AW14" s="160"/>
      <c r="AX14" s="160"/>
      <c r="AY14" s="160"/>
      <c r="AZ14" s="160"/>
      <c r="BA14" s="160"/>
      <c r="BB14" s="160"/>
    </row>
    <row r="15" spans="1:54" x14ac:dyDescent="0.35">
      <c r="A15" s="110">
        <v>9</v>
      </c>
      <c r="B15" s="42" t="str" cm="1">
        <f t="array" aca="1" ref="B15" ca="1">IF(INDIRECT("Units!" &amp; CHAR(67 + A15) &amp; "9")="District level", IF(COUNTA(INDEX(Units_named, A15))&gt;0, INDEX(Units_named, A15), ""), "")</f>
        <v/>
      </c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0"/>
      <c r="X15" s="160"/>
      <c r="Y15" s="160"/>
      <c r="Z15" s="160"/>
      <c r="AA15" s="160"/>
      <c r="AB15" s="160"/>
      <c r="AE15" s="160"/>
      <c r="AF15" s="160"/>
      <c r="AG15" s="160"/>
      <c r="AH15" s="160"/>
      <c r="AI15" s="160"/>
      <c r="AJ15" s="160"/>
      <c r="AK15" s="160"/>
      <c r="AL15" s="160"/>
      <c r="AM15" s="160"/>
      <c r="AN15" s="160"/>
      <c r="AO15" s="160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</row>
    <row r="16" spans="1:54" x14ac:dyDescent="0.35">
      <c r="A16" s="110">
        <v>10</v>
      </c>
      <c r="B16" s="42" t="str" cm="1">
        <f t="array" aca="1" ref="B16" ca="1">IF(INDIRECT("Units!" &amp; CHAR(67 + A16) &amp; "9")="District level", IF(COUNTA(INDEX(Units_named, A16))&gt;0, INDEX(Units_named, A16), ""), "")</f>
        <v/>
      </c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E16" s="160"/>
      <c r="AF16" s="160"/>
      <c r="AG16" s="160"/>
      <c r="AH16" s="160"/>
      <c r="AI16" s="160"/>
      <c r="AJ16" s="160"/>
      <c r="AK16" s="160"/>
      <c r="AL16" s="160"/>
      <c r="AM16" s="16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</row>
    <row r="17" spans="1:54" x14ac:dyDescent="0.35">
      <c r="A17" s="110">
        <v>11</v>
      </c>
      <c r="B17" s="42" t="str" cm="1">
        <f t="array" aca="1" ref="B17" ca="1">IF(INDIRECT("Units!" &amp; CHAR(67 + A17) &amp; "9")="District level", IF(COUNTA(INDEX(Units_named, A17))&gt;0, INDEX(Units_named, A17), ""), "")</f>
        <v/>
      </c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160"/>
      <c r="AA17" s="160"/>
      <c r="AB17" s="160"/>
      <c r="AE17" s="160"/>
      <c r="AF17" s="160"/>
      <c r="AG17" s="160"/>
      <c r="AH17" s="160"/>
      <c r="AI17" s="160"/>
      <c r="AJ17" s="160"/>
      <c r="AK17" s="160"/>
      <c r="AL17" s="160"/>
      <c r="AM17" s="160"/>
      <c r="AN17" s="160"/>
      <c r="AO17" s="160"/>
      <c r="AP17" s="16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</row>
    <row r="18" spans="1:54" x14ac:dyDescent="0.35">
      <c r="A18" s="110">
        <v>12</v>
      </c>
      <c r="B18" s="42" t="str" cm="1">
        <f t="array" aca="1" ref="B18" ca="1">IF(INDIRECT("Units!" &amp; CHAR(67 + A18) &amp; "9")="District level", IF(COUNTA(INDEX(Units_named, A18))&gt;0, INDEX(Units_named, A18), ""), "")</f>
        <v/>
      </c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E18" s="160"/>
      <c r="AF18" s="160"/>
      <c r="AG18" s="160"/>
      <c r="AH18" s="160"/>
      <c r="AI18" s="160"/>
      <c r="AJ18" s="160"/>
      <c r="AK18" s="160"/>
      <c r="AL18" s="160"/>
      <c r="AM18" s="160"/>
      <c r="AN18" s="160"/>
      <c r="AO18" s="160"/>
      <c r="AP18" s="16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</row>
    <row r="19" spans="1:54" x14ac:dyDescent="0.35">
      <c r="A19" s="110">
        <v>13</v>
      </c>
      <c r="B19" s="42" t="str" cm="1">
        <f t="array" aca="1" ref="B19" ca="1">IF(INDIRECT("Units!" &amp; CHAR(67 + A19) &amp; "9")="District level", IF(COUNTA(INDEX(Units_named, A19))&gt;0, INDEX(Units_named, A19), ""), "")</f>
        <v/>
      </c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0"/>
      <c r="AP19" s="160"/>
      <c r="AQ19" s="160"/>
      <c r="AR19" s="160"/>
      <c r="AS19" s="160"/>
      <c r="AT19" s="160"/>
      <c r="AU19" s="160"/>
      <c r="AV19" s="160"/>
      <c r="AW19" s="160"/>
      <c r="AX19" s="160"/>
      <c r="AY19" s="160"/>
      <c r="AZ19" s="160"/>
      <c r="BA19" s="160"/>
      <c r="BB19" s="160"/>
    </row>
    <row r="20" spans="1:54" x14ac:dyDescent="0.35">
      <c r="A20" s="110">
        <v>14</v>
      </c>
      <c r="B20" s="42" t="str" cm="1">
        <f t="array" aca="1" ref="B20" ca="1">IF(INDIRECT("Units!" &amp; CHAR(67 + A20) &amp; "9")="District level", IF(COUNTA(INDEX(Units_named, A20))&gt;0, INDEX(Units_named, A20), ""), "")</f>
        <v/>
      </c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E20" s="160"/>
      <c r="AF20" s="160"/>
      <c r="AG20" s="160"/>
      <c r="AH20" s="160"/>
      <c r="AI20" s="160"/>
      <c r="AJ20" s="160"/>
      <c r="AK20" s="160"/>
      <c r="AL20" s="160"/>
      <c r="AM20" s="160"/>
      <c r="AN20" s="160"/>
      <c r="AO20" s="160"/>
      <c r="AP20" s="160"/>
      <c r="AQ20" s="160"/>
      <c r="AR20" s="160"/>
      <c r="AS20" s="160"/>
      <c r="AT20" s="160"/>
      <c r="AU20" s="160"/>
      <c r="AV20" s="160"/>
      <c r="AW20" s="160"/>
      <c r="AX20" s="160"/>
      <c r="AY20" s="160"/>
      <c r="AZ20" s="160"/>
      <c r="BA20" s="160"/>
      <c r="BB20" s="160"/>
    </row>
    <row r="21" spans="1:54" x14ac:dyDescent="0.35">
      <c r="A21" s="110">
        <v>15</v>
      </c>
      <c r="B21" s="42" t="str" cm="1">
        <f t="array" aca="1" ref="B21" ca="1">IF(INDIRECT("Units!" &amp; CHAR(67 + A21) &amp; "9")="District level", IF(COUNTA(INDEX(Units_named, A21))&gt;0, INDEX(Units_named, A21), ""), "")</f>
        <v/>
      </c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E21" s="160"/>
      <c r="AF21" s="160"/>
      <c r="AG21" s="160"/>
      <c r="AH21" s="160"/>
      <c r="AI21" s="160"/>
      <c r="AJ21" s="160"/>
      <c r="AK21" s="160"/>
      <c r="AL21" s="160"/>
      <c r="AM21" s="160"/>
      <c r="AN21" s="160"/>
      <c r="AO21" s="160"/>
      <c r="AP21" s="16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</row>
    <row r="22" spans="1:54" x14ac:dyDescent="0.35">
      <c r="A22" s="110">
        <v>16</v>
      </c>
      <c r="B22" s="42" t="str" cm="1">
        <f t="array" aca="1" ref="B22" ca="1">IF(INDIRECT("Units!" &amp; CHAR(67 + A22) &amp; "9")="District level", IF(COUNTA(INDEX(Units_named, A22))&gt;0, INDEX(Units_named, A22), ""), "")</f>
        <v/>
      </c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0"/>
      <c r="AP22" s="16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</row>
    <row r="23" spans="1:54" x14ac:dyDescent="0.35">
      <c r="A23" s="110">
        <v>17</v>
      </c>
      <c r="B23" s="42" t="str" cm="1">
        <f t="array" aca="1" ref="B23" ca="1">IF(INDIRECT("Units!" &amp; CHAR(67 + A23) &amp; "9")="District level", IF(COUNTA(INDEX(Units_named, A23))&gt;0, INDEX(Units_named, A23), ""), "")</f>
        <v/>
      </c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E23" s="160"/>
      <c r="AF23" s="160"/>
      <c r="AG23" s="160"/>
      <c r="AH23" s="160"/>
      <c r="AI23" s="160"/>
      <c r="AJ23" s="160"/>
      <c r="AK23" s="160"/>
      <c r="AL23" s="160"/>
      <c r="AM23" s="160"/>
      <c r="AN23" s="160"/>
      <c r="AO23" s="160"/>
      <c r="AP23" s="160"/>
      <c r="AQ23" s="160"/>
      <c r="AR23" s="160"/>
      <c r="AS23" s="160"/>
      <c r="AT23" s="160"/>
      <c r="AU23" s="160"/>
      <c r="AV23" s="160"/>
      <c r="AW23" s="160"/>
      <c r="AX23" s="160"/>
      <c r="AY23" s="160"/>
      <c r="AZ23" s="160"/>
      <c r="BA23" s="160"/>
      <c r="BB23" s="160"/>
    </row>
    <row r="24" spans="1:54" x14ac:dyDescent="0.35">
      <c r="A24" s="110">
        <v>18</v>
      </c>
      <c r="B24" s="42" t="str" cm="1">
        <f t="array" aca="1" ref="B24" ca="1">IF(INDIRECT("Units!" &amp; CHAR(67 + A24) &amp; "9")="District level", IF(COUNTA(INDEX(Units_named, A24))&gt;0, INDEX(Units_named, A24), ""), "")</f>
        <v/>
      </c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E24" s="160"/>
      <c r="AF24" s="160"/>
      <c r="AG24" s="160"/>
      <c r="AH24" s="160"/>
      <c r="AI24" s="160"/>
      <c r="AJ24" s="160"/>
      <c r="AK24" s="160"/>
      <c r="AL24" s="160"/>
      <c r="AM24" s="160"/>
      <c r="AN24" s="160"/>
      <c r="AO24" s="160"/>
      <c r="AP24" s="160"/>
      <c r="AQ24" s="160"/>
      <c r="AR24" s="160"/>
      <c r="AS24" s="160"/>
      <c r="AT24" s="160"/>
      <c r="AU24" s="160"/>
      <c r="AV24" s="160"/>
      <c r="AW24" s="160"/>
      <c r="AX24" s="160"/>
      <c r="AY24" s="160"/>
      <c r="AZ24" s="160"/>
      <c r="BA24" s="160"/>
      <c r="BB24" s="160"/>
    </row>
    <row r="25" spans="1:54" x14ac:dyDescent="0.35">
      <c r="A25" s="110">
        <v>19</v>
      </c>
      <c r="B25" s="42" t="str" cm="1">
        <f t="array" aca="1" ref="B25" ca="1">IF(INDIRECT("Units!" &amp; CHAR(67 + A25) &amp; "9")="District level", IF(COUNTA(INDEX(Units_named, A25))&gt;0, INDEX(Units_named, A25), ""), "")</f>
        <v/>
      </c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E25" s="160"/>
      <c r="AF25" s="160"/>
      <c r="AG25" s="160"/>
      <c r="AH25" s="160"/>
      <c r="AI25" s="160"/>
      <c r="AJ25" s="160"/>
      <c r="AK25" s="160"/>
      <c r="AL25" s="160"/>
      <c r="AM25" s="160"/>
      <c r="AN25" s="160"/>
      <c r="AO25" s="160"/>
      <c r="AP25" s="16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</row>
    <row r="26" spans="1:54" ht="18.600000000000001" thickBot="1" x14ac:dyDescent="0.4">
      <c r="A26" s="110">
        <v>20</v>
      </c>
      <c r="B26" s="42" t="str" cm="1">
        <f t="array" aca="1" ref="B26" ca="1">IF(INDIRECT("Units!" &amp; CHAR(67 + A26) &amp; "9")="District level", IF(COUNTA(INDEX(Units_named, A26))&gt;0, INDEX(Units_named, A26), ""), "")</f>
        <v/>
      </c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E26" s="160"/>
      <c r="AF26" s="160"/>
      <c r="AG26" s="160"/>
      <c r="AH26" s="160"/>
      <c r="AI26" s="160"/>
      <c r="AJ26" s="160"/>
      <c r="AK26" s="160"/>
      <c r="AL26" s="160"/>
      <c r="AM26" s="160"/>
      <c r="AN26" s="160"/>
      <c r="AO26" s="160"/>
      <c r="AP26" s="160"/>
      <c r="AQ26" s="160"/>
      <c r="AR26" s="160"/>
      <c r="AS26" s="160"/>
      <c r="AT26" s="160"/>
      <c r="AU26" s="160"/>
      <c r="AV26" s="160"/>
      <c r="AW26" s="160"/>
      <c r="AX26" s="160"/>
      <c r="AY26" s="160"/>
      <c r="AZ26" s="160"/>
      <c r="BA26" s="160"/>
      <c r="BB26" s="160"/>
    </row>
    <row r="27" spans="1:54" s="40" customFormat="1" ht="18.600000000000001" thickBot="1" x14ac:dyDescent="0.4">
      <c r="A27" s="111"/>
      <c r="B27" s="45" t="s">
        <v>219</v>
      </c>
      <c r="C27" s="4" t="s">
        <v>145</v>
      </c>
      <c r="D27" s="4" t="s">
        <v>146</v>
      </c>
      <c r="E27" s="4" t="s">
        <v>222</v>
      </c>
      <c r="F27" s="4" t="s">
        <v>223</v>
      </c>
      <c r="G27" s="4" t="s">
        <v>222</v>
      </c>
      <c r="H27" s="4" t="s">
        <v>223</v>
      </c>
      <c r="I27" s="4" t="s">
        <v>222</v>
      </c>
      <c r="J27" s="4" t="s">
        <v>223</v>
      </c>
      <c r="K27" s="4" t="s">
        <v>222</v>
      </c>
      <c r="L27" s="4" t="s">
        <v>223</v>
      </c>
      <c r="M27" s="4" t="s">
        <v>222</v>
      </c>
      <c r="N27" s="4" t="s">
        <v>223</v>
      </c>
      <c r="O27" s="4" t="s">
        <v>222</v>
      </c>
      <c r="P27" s="4" t="s">
        <v>223</v>
      </c>
      <c r="Q27" s="4" t="s">
        <v>222</v>
      </c>
      <c r="R27" s="4" t="s">
        <v>223</v>
      </c>
      <c r="S27" s="4" t="s">
        <v>222</v>
      </c>
      <c r="T27" s="4" t="s">
        <v>223</v>
      </c>
      <c r="U27" s="4" t="s">
        <v>222</v>
      </c>
      <c r="V27" s="4" t="s">
        <v>223</v>
      </c>
      <c r="W27" s="4" t="s">
        <v>222</v>
      </c>
      <c r="X27" s="4" t="s">
        <v>223</v>
      </c>
      <c r="Y27" s="4" t="s">
        <v>222</v>
      </c>
      <c r="Z27" s="4" t="s">
        <v>223</v>
      </c>
      <c r="AA27" s="4" t="s">
        <v>222</v>
      </c>
      <c r="AB27" s="4" t="s">
        <v>223</v>
      </c>
      <c r="AC27" s="4" t="s">
        <v>145</v>
      </c>
      <c r="AD27" s="4" t="s">
        <v>146</v>
      </c>
      <c r="AE27" s="4" t="s">
        <v>222</v>
      </c>
      <c r="AF27" s="4" t="s">
        <v>223</v>
      </c>
      <c r="AG27" s="4" t="s">
        <v>222</v>
      </c>
      <c r="AH27" s="4" t="s">
        <v>223</v>
      </c>
      <c r="AI27" s="4" t="s">
        <v>222</v>
      </c>
      <c r="AJ27" s="4" t="s">
        <v>223</v>
      </c>
      <c r="AK27" s="4" t="s">
        <v>222</v>
      </c>
      <c r="AL27" s="4" t="s">
        <v>223</v>
      </c>
      <c r="AM27" s="4" t="s">
        <v>222</v>
      </c>
      <c r="AN27" s="4" t="s">
        <v>223</v>
      </c>
      <c r="AO27" s="4" t="s">
        <v>222</v>
      </c>
      <c r="AP27" s="4" t="s">
        <v>223</v>
      </c>
      <c r="AQ27" s="4" t="s">
        <v>222</v>
      </c>
      <c r="AR27" s="4" t="s">
        <v>223</v>
      </c>
      <c r="AS27" s="4" t="s">
        <v>222</v>
      </c>
      <c r="AT27" s="4" t="s">
        <v>223</v>
      </c>
      <c r="AU27" s="4" t="s">
        <v>222</v>
      </c>
      <c r="AV27" s="4" t="s">
        <v>223</v>
      </c>
      <c r="AW27" s="4" t="s">
        <v>222</v>
      </c>
      <c r="AX27" s="4" t="s">
        <v>223</v>
      </c>
      <c r="AY27" s="4" t="s">
        <v>222</v>
      </c>
      <c r="AZ27" s="4" t="s">
        <v>223</v>
      </c>
      <c r="BA27" s="4" t="s">
        <v>222</v>
      </c>
      <c r="BB27" s="4" t="s">
        <v>223</v>
      </c>
    </row>
    <row r="28" spans="1:54" x14ac:dyDescent="0.35">
      <c r="A28" s="155">
        <v>1</v>
      </c>
      <c r="B28" s="42" t="str" cm="1">
        <f t="array" aca="1" ref="B28" ca="1">IF(INDIRECT("Units!" &amp; CHAR(67 + A28) &amp; "9")="Building level", IF(COUNTA(INDEX(Units_named, A28))&gt;0, INDEX(Units_named, A28), ""), "")</f>
        <v/>
      </c>
      <c r="C28" s="160"/>
      <c r="D28" s="160"/>
      <c r="AC28" s="160"/>
      <c r="AD28" s="160"/>
    </row>
    <row r="29" spans="1:54" x14ac:dyDescent="0.35">
      <c r="A29" s="110">
        <v>2</v>
      </c>
      <c r="B29" s="42" t="str" cm="1">
        <f t="array" aca="1" ref="B29" ca="1">IF(INDIRECT("Units!" &amp; CHAR(67 + A29) &amp; "9")="Building level", IF(COUNTA(INDEX(Units_named, A29))&gt;0, INDEX(Units_named, A29), ""), "")</f>
        <v/>
      </c>
      <c r="C29" s="160"/>
      <c r="D29" s="160"/>
      <c r="AC29" s="160"/>
      <c r="AD29" s="160"/>
    </row>
    <row r="30" spans="1:54" x14ac:dyDescent="0.35">
      <c r="A30" s="110">
        <v>3</v>
      </c>
      <c r="B30" s="42" t="str" cm="1">
        <f t="array" aca="1" ref="B30" ca="1">IF(INDIRECT("Units!" &amp; CHAR(67 + A30) &amp; "9")="Building level", IF(COUNTA(INDEX(Units_named, A30))&gt;0, INDEX(Units_named, A30), ""), "")</f>
        <v/>
      </c>
      <c r="C30" s="160"/>
      <c r="D30" s="160"/>
      <c r="AC30" s="160"/>
      <c r="AD30" s="160"/>
    </row>
    <row r="31" spans="1:54" x14ac:dyDescent="0.35">
      <c r="A31" s="110">
        <v>4</v>
      </c>
      <c r="B31" s="42" t="str" cm="1">
        <f t="array" aca="1" ref="B31" ca="1">IF(INDIRECT("Units!" &amp; CHAR(67 + A31) &amp; "9")="Building level", IF(COUNTA(INDEX(Units_named, A31))&gt;0, INDEX(Units_named, A31), ""), "")</f>
        <v>PV Rooftop</v>
      </c>
      <c r="C31" s="160"/>
      <c r="D31" s="160"/>
      <c r="E31" s="43">
        <v>5</v>
      </c>
      <c r="F31" s="43">
        <v>15</v>
      </c>
      <c r="G31" s="43">
        <v>0</v>
      </c>
      <c r="H31" s="43">
        <v>12</v>
      </c>
      <c r="I31" s="43">
        <v>0</v>
      </c>
      <c r="J31" s="43">
        <v>6</v>
      </c>
      <c r="K31" s="43">
        <v>5</v>
      </c>
      <c r="L31" s="43">
        <v>20</v>
      </c>
      <c r="AC31" s="160"/>
      <c r="AD31" s="160"/>
      <c r="AG31" s="43">
        <v>0</v>
      </c>
      <c r="AH31" s="43">
        <v>27</v>
      </c>
      <c r="AI31" s="43">
        <v>0</v>
      </c>
      <c r="AJ31" s="43">
        <v>6</v>
      </c>
    </row>
    <row r="32" spans="1:54" x14ac:dyDescent="0.35">
      <c r="A32" s="110">
        <v>5</v>
      </c>
      <c r="B32" s="42" t="str" cm="1">
        <f t="array" aca="1" ref="B32" ca="1">IF(INDIRECT("Units!" &amp; CHAR(67 + A32) &amp; "9")="Building level", IF(COUNTA(INDEX(Units_named, A32))&gt;0, INDEX(Units_named, A32), ""), "")</f>
        <v/>
      </c>
      <c r="C32" s="160"/>
      <c r="D32" s="160"/>
      <c r="AC32" s="160"/>
      <c r="AD32" s="160"/>
    </row>
    <row r="33" spans="1:54" x14ac:dyDescent="0.35">
      <c r="A33" s="110">
        <v>6</v>
      </c>
      <c r="B33" s="42" t="str" cm="1">
        <f t="array" aca="1" ref="B33" ca="1">IF(INDIRECT("Units!" &amp; CHAR(67 + A33) &amp; "9")="Building level", IF(COUNTA(INDEX(Units_named, A33))&gt;0, INDEX(Units_named, A33), ""), "")</f>
        <v>Electrolysis</v>
      </c>
      <c r="C33" s="160"/>
      <c r="D33" s="160"/>
      <c r="E33" s="43">
        <v>0</v>
      </c>
      <c r="F33" s="43">
        <v>0</v>
      </c>
      <c r="G33" s="43">
        <v>0</v>
      </c>
      <c r="H33" s="43">
        <v>0</v>
      </c>
      <c r="I33" s="43">
        <v>0</v>
      </c>
      <c r="J33" s="43">
        <v>0</v>
      </c>
      <c r="K33" s="43">
        <v>0</v>
      </c>
      <c r="L33" s="43">
        <v>0</v>
      </c>
      <c r="AC33" s="160"/>
      <c r="AD33" s="160"/>
      <c r="AG33" s="43">
        <v>0</v>
      </c>
      <c r="AH33" s="43">
        <v>0</v>
      </c>
      <c r="AI33" s="43">
        <v>0</v>
      </c>
      <c r="AJ33" s="43">
        <v>0</v>
      </c>
    </row>
    <row r="34" spans="1:54" x14ac:dyDescent="0.35">
      <c r="A34" s="110">
        <v>7</v>
      </c>
      <c r="B34" s="42" t="str" cm="1">
        <f t="array" aca="1" ref="B34" ca="1">IF(INDIRECT("Units!" &amp; CHAR(67 + A34) &amp; "9")="Building level", IF(COUNTA(INDEX(Units_named, A34))&gt;0, INDEX(Units_named, A34), ""), "")</f>
        <v>Heat pump</v>
      </c>
      <c r="C34" s="160"/>
      <c r="D34" s="160"/>
      <c r="E34" s="43">
        <v>4</v>
      </c>
      <c r="F34" s="43">
        <v>5</v>
      </c>
      <c r="G34" s="43">
        <v>2</v>
      </c>
      <c r="H34" s="43">
        <v>4</v>
      </c>
      <c r="I34" s="43">
        <v>0</v>
      </c>
      <c r="J34" s="43">
        <v>2</v>
      </c>
      <c r="K34" s="43">
        <v>0</v>
      </c>
      <c r="L34" s="43">
        <v>1</v>
      </c>
      <c r="AC34" s="160"/>
      <c r="AD34" s="160"/>
      <c r="AG34" s="43">
        <v>0</v>
      </c>
      <c r="AH34" s="43">
        <v>9</v>
      </c>
      <c r="AI34" s="43">
        <v>1</v>
      </c>
      <c r="AJ34" s="43">
        <v>2</v>
      </c>
    </row>
    <row r="35" spans="1:54" x14ac:dyDescent="0.35">
      <c r="A35" s="110">
        <v>8</v>
      </c>
      <c r="B35" s="42" t="str" cm="1">
        <f t="array" aca="1" ref="B35" ca="1">IF(INDIRECT("Units!" &amp; CHAR(67 + A35) &amp; "9")="Building level", IF(COUNTA(INDEX(Units_named, A35))&gt;0, INDEX(Units_named, A35), ""), "")</f>
        <v>Gas boiler</v>
      </c>
      <c r="C35" s="160"/>
      <c r="D35" s="160"/>
      <c r="E35" s="43">
        <v>1</v>
      </c>
      <c r="F35" s="43">
        <v>5</v>
      </c>
      <c r="G35" s="43">
        <v>2</v>
      </c>
      <c r="H35" s="43">
        <v>4</v>
      </c>
      <c r="I35" s="43">
        <v>2</v>
      </c>
      <c r="J35" s="43">
        <v>0</v>
      </c>
      <c r="K35" s="43">
        <v>1</v>
      </c>
      <c r="L35" s="43">
        <v>0</v>
      </c>
      <c r="AC35" s="160"/>
      <c r="AD35" s="160"/>
      <c r="AG35" s="43">
        <v>9</v>
      </c>
      <c r="AH35" s="43">
        <v>0</v>
      </c>
      <c r="AI35" s="43">
        <v>1</v>
      </c>
      <c r="AJ35" s="43">
        <v>0</v>
      </c>
    </row>
    <row r="36" spans="1:54" x14ac:dyDescent="0.35">
      <c r="A36" s="110">
        <v>9</v>
      </c>
      <c r="B36" s="42" t="str" cm="1">
        <f t="array" aca="1" ref="B36" ca="1">IF(INDIRECT("Units!" &amp; CHAR(67 + A36) &amp; "9")="Building level", IF(COUNTA(INDEX(Units_named, A36))&gt;0, INDEX(Units_named, A36), ""), "")</f>
        <v/>
      </c>
      <c r="C36" s="160"/>
      <c r="D36" s="160"/>
      <c r="AC36" s="160"/>
      <c r="AD36" s="160"/>
    </row>
    <row r="37" spans="1:54" x14ac:dyDescent="0.35">
      <c r="A37" s="110">
        <v>10</v>
      </c>
      <c r="B37" s="42" t="str" cm="1">
        <f t="array" aca="1" ref="B37" ca="1">IF(INDIRECT("Units!" &amp; CHAR(67 + A37) &amp; "9")="Building level", IF(COUNTA(INDEX(Units_named, A37))&gt;0, INDEX(Units_named, A37), ""), "")</f>
        <v/>
      </c>
      <c r="C37" s="160"/>
      <c r="D37" s="160"/>
      <c r="AC37" s="160"/>
      <c r="AD37" s="160"/>
    </row>
    <row r="38" spans="1:54" x14ac:dyDescent="0.35">
      <c r="A38" s="110">
        <v>11</v>
      </c>
      <c r="B38" s="42" t="str" cm="1">
        <f t="array" aca="1" ref="B38" ca="1">IF(INDIRECT("Units!" &amp; CHAR(67 + A38) &amp; "9")="Building level", IF(COUNTA(INDEX(Units_named, A38))&gt;0, INDEX(Units_named, A38), ""), "")</f>
        <v/>
      </c>
      <c r="C38" s="160"/>
      <c r="D38" s="160"/>
      <c r="AC38" s="160"/>
      <c r="AD38" s="160"/>
    </row>
    <row r="39" spans="1:54" x14ac:dyDescent="0.35">
      <c r="A39" s="110">
        <v>12</v>
      </c>
      <c r="B39" s="42" t="str" cm="1">
        <f t="array" aca="1" ref="B39" ca="1">IF(INDIRECT("Units!" &amp; CHAR(67 + A39) &amp; "9")="Building level", IF(COUNTA(INDEX(Units_named, A39))&gt;0, INDEX(Units_named, A39), ""), "")</f>
        <v/>
      </c>
      <c r="C39" s="160"/>
      <c r="D39" s="160"/>
      <c r="AC39" s="160"/>
      <c r="AD39" s="160"/>
    </row>
    <row r="40" spans="1:54" x14ac:dyDescent="0.35">
      <c r="A40" s="110">
        <v>13</v>
      </c>
      <c r="B40" s="42" t="str" cm="1">
        <f t="array" aca="1" ref="B40" ca="1">IF(INDIRECT("Units!" &amp; CHAR(67 + A40) &amp; "9")="Building level", IF(COUNTA(INDEX(Units_named, A40))&gt;0, INDEX(Units_named, A40), ""), "")</f>
        <v/>
      </c>
      <c r="C40" s="160"/>
      <c r="D40" s="160"/>
      <c r="AC40" s="160"/>
      <c r="AD40" s="160"/>
    </row>
    <row r="41" spans="1:54" x14ac:dyDescent="0.35">
      <c r="A41" s="110">
        <v>14</v>
      </c>
      <c r="B41" s="42" t="str" cm="1">
        <f t="array" aca="1" ref="B41" ca="1">IF(INDIRECT("Units!" &amp; CHAR(67 + A41) &amp; "9")="Building level", IF(COUNTA(INDEX(Units_named, A41))&gt;0, INDEX(Units_named, A41), ""), "")</f>
        <v/>
      </c>
      <c r="C41" s="160"/>
      <c r="D41" s="160"/>
      <c r="AC41" s="160"/>
      <c r="AD41" s="160"/>
    </row>
    <row r="42" spans="1:54" x14ac:dyDescent="0.35">
      <c r="A42" s="110">
        <v>15</v>
      </c>
      <c r="B42" s="42" t="str" cm="1">
        <f t="array" aca="1" ref="B42" ca="1">IF(INDIRECT("Units!" &amp; CHAR(67 + A42) &amp; "9")="Building level", IF(COUNTA(INDEX(Units_named, A42))&gt;0, INDEX(Units_named, A42), ""), "")</f>
        <v/>
      </c>
      <c r="C42" s="160"/>
      <c r="D42" s="160"/>
      <c r="AC42" s="160"/>
      <c r="AD42" s="160"/>
    </row>
    <row r="43" spans="1:54" x14ac:dyDescent="0.35">
      <c r="A43" s="110">
        <v>16</v>
      </c>
      <c r="B43" s="42" t="str" cm="1">
        <f t="array" aca="1" ref="B43" ca="1">IF(INDIRECT("Units!" &amp; CHAR(67 + A43) &amp; "9")="Building level", IF(COUNTA(INDEX(Units_named, A43))&gt;0, INDEX(Units_named, A43), ""), "")</f>
        <v/>
      </c>
      <c r="C43" s="160"/>
      <c r="D43" s="160"/>
      <c r="AC43" s="160"/>
      <c r="AD43" s="160"/>
    </row>
    <row r="44" spans="1:54" x14ac:dyDescent="0.35">
      <c r="A44" s="110">
        <v>17</v>
      </c>
      <c r="B44" s="42" t="str" cm="1">
        <f t="array" aca="1" ref="B44" ca="1">IF(INDIRECT("Units!" &amp; CHAR(67 + A44) &amp; "9")="Building level", IF(COUNTA(INDEX(Units_named, A44))&gt;0, INDEX(Units_named, A44), ""), "")</f>
        <v/>
      </c>
      <c r="C44" s="160"/>
      <c r="D44" s="160"/>
      <c r="AC44" s="160"/>
      <c r="AD44" s="160"/>
    </row>
    <row r="45" spans="1:54" x14ac:dyDescent="0.35">
      <c r="A45" s="110">
        <v>18</v>
      </c>
      <c r="B45" s="42" t="str" cm="1">
        <f t="array" aca="1" ref="B45" ca="1">IF(INDIRECT("Units!" &amp; CHAR(67 + A45) &amp; "9")="Building level", IF(COUNTA(INDEX(Units_named, A45))&gt;0, INDEX(Units_named, A45), ""), "")</f>
        <v/>
      </c>
      <c r="C45" s="160"/>
      <c r="D45" s="160"/>
      <c r="AC45" s="160"/>
      <c r="AD45" s="160"/>
    </row>
    <row r="46" spans="1:54" x14ac:dyDescent="0.35">
      <c r="A46" s="110">
        <v>19</v>
      </c>
      <c r="B46" s="42" t="str" cm="1">
        <f t="array" aca="1" ref="B46" ca="1">IF(INDIRECT("Units!" &amp; CHAR(67 + A46) &amp; "9")="Building level", IF(COUNTA(INDEX(Units_named, A46))&gt;0, INDEX(Units_named, A46), ""), "")</f>
        <v/>
      </c>
      <c r="C46" s="160"/>
      <c r="D46" s="160"/>
      <c r="AC46" s="160"/>
      <c r="AD46" s="160"/>
    </row>
    <row r="47" spans="1:54" ht="18.600000000000001" thickBot="1" x14ac:dyDescent="0.4">
      <c r="A47" s="110">
        <v>20</v>
      </c>
      <c r="B47" s="42" t="str" cm="1">
        <f t="array" aca="1" ref="B47" ca="1">IF(INDIRECT("Units!" &amp; CHAR(67 + A47) &amp; "9")="Building level", IF(COUNTA(INDEX(Units_named, A47))&gt;0, INDEX(Units_named, A47), ""), "")</f>
        <v/>
      </c>
      <c r="C47" s="160"/>
      <c r="D47" s="160"/>
      <c r="AC47" s="160"/>
      <c r="AD47" s="160"/>
    </row>
    <row r="48" spans="1:54" s="48" customFormat="1" ht="18.600000000000001" thickBot="1" x14ac:dyDescent="0.4">
      <c r="A48" s="66"/>
      <c r="B48" s="135" t="s">
        <v>148</v>
      </c>
      <c r="C48" s="193"/>
      <c r="D48" s="194"/>
      <c r="E48" s="194"/>
      <c r="F48" s="194"/>
      <c r="G48" s="194"/>
      <c r="H48" s="194"/>
      <c r="I48" s="194"/>
      <c r="J48" s="194"/>
      <c r="K48" s="194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5"/>
      <c r="AC48" s="193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5"/>
    </row>
    <row r="49" spans="1:54" x14ac:dyDescent="0.35">
      <c r="A49" s="110">
        <v>1</v>
      </c>
      <c r="B49" s="42" t="str" cm="1">
        <f t="array" ref="B49">IF(COUNTA(INDEX(Buildings, A49))&gt;0,INDEX(Buildings, A49),"")</f>
        <v>SF1980_2F</v>
      </c>
      <c r="C49" s="162">
        <f>E5</f>
        <v>5</v>
      </c>
      <c r="D49" s="167" t="b">
        <v>1</v>
      </c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73"/>
      <c r="AC49" s="162">
        <f>AE5</f>
        <v>0</v>
      </c>
      <c r="AD49" s="167" t="b">
        <v>0</v>
      </c>
      <c r="AE49" s="164"/>
      <c r="AF49" s="164"/>
      <c r="AG49" s="164"/>
      <c r="AH49" s="164"/>
      <c r="AI49" s="164"/>
      <c r="AJ49" s="164"/>
      <c r="AK49" s="164"/>
      <c r="AL49" s="164"/>
      <c r="AM49" s="164"/>
      <c r="AN49" s="164"/>
      <c r="AO49" s="164"/>
      <c r="AP49" s="164"/>
      <c r="AQ49" s="164"/>
      <c r="AR49" s="164"/>
      <c r="AS49" s="164"/>
      <c r="AT49" s="164"/>
      <c r="AU49" s="164"/>
      <c r="AV49" s="164"/>
      <c r="AW49" s="164"/>
      <c r="AX49" s="164"/>
      <c r="AY49" s="164"/>
      <c r="AZ49" s="164"/>
      <c r="BA49" s="164"/>
      <c r="BB49" s="173"/>
    </row>
    <row r="50" spans="1:54" x14ac:dyDescent="0.35">
      <c r="A50" s="110">
        <v>2</v>
      </c>
      <c r="B50" s="42" t="str" cm="1">
        <f t="array" ref="B50">IF(COUNTA(INDEX(Buildings, A50))&gt;0,INDEX(Buildings, A50),"")</f>
        <v>MF1990_3F</v>
      </c>
      <c r="C50" s="161">
        <f>G5</f>
        <v>4</v>
      </c>
      <c r="D50" s="168" t="b">
        <v>1</v>
      </c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74"/>
      <c r="AC50" s="161">
        <f>AG5</f>
        <v>9</v>
      </c>
      <c r="AD50" s="168" t="b">
        <v>1</v>
      </c>
      <c r="AE50" s="165"/>
      <c r="AF50" s="165"/>
      <c r="AG50" s="165"/>
      <c r="AH50" s="165"/>
      <c r="AI50" s="165"/>
      <c r="AJ50" s="165"/>
      <c r="AK50" s="165"/>
      <c r="AL50" s="165"/>
      <c r="AM50" s="165"/>
      <c r="AN50" s="165"/>
      <c r="AO50" s="165"/>
      <c r="AP50" s="165"/>
      <c r="AQ50" s="165"/>
      <c r="AR50" s="165"/>
      <c r="AS50" s="165"/>
      <c r="AT50" s="165"/>
      <c r="AU50" s="165"/>
      <c r="AV50" s="165"/>
      <c r="AW50" s="165"/>
      <c r="AX50" s="165"/>
      <c r="AY50" s="165"/>
      <c r="AZ50" s="165"/>
      <c r="BA50" s="165"/>
      <c r="BB50" s="174"/>
    </row>
    <row r="51" spans="1:54" x14ac:dyDescent="0.35">
      <c r="A51" s="110">
        <v>3</v>
      </c>
      <c r="B51" s="42" t="str" cm="1">
        <f t="array" ref="B51">IF(COUNTA(INDEX(Buildings, A51))&gt;0,INDEX(Buildings, A51),"")</f>
        <v>MF2005_1F</v>
      </c>
      <c r="C51" s="161">
        <f>I5</f>
        <v>2</v>
      </c>
      <c r="D51" s="168" t="b">
        <v>1</v>
      </c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74"/>
      <c r="AC51" s="161">
        <f>AI5</f>
        <v>2</v>
      </c>
      <c r="AD51" s="168" t="b">
        <v>1</v>
      </c>
      <c r="AE51" s="165"/>
      <c r="AF51" s="165"/>
      <c r="AG51" s="165"/>
      <c r="AH51" s="165"/>
      <c r="AI51" s="165"/>
      <c r="AJ51" s="165"/>
      <c r="AK51" s="165"/>
      <c r="AL51" s="165"/>
      <c r="AM51" s="165"/>
      <c r="AN51" s="165"/>
      <c r="AO51" s="165"/>
      <c r="AP51" s="165"/>
      <c r="AQ51" s="165"/>
      <c r="AR51" s="165"/>
      <c r="AS51" s="165"/>
      <c r="AT51" s="165"/>
      <c r="AU51" s="165"/>
      <c r="AV51" s="165"/>
      <c r="AW51" s="165"/>
      <c r="AX51" s="165"/>
      <c r="AY51" s="165"/>
      <c r="AZ51" s="165"/>
      <c r="BA51" s="165"/>
      <c r="BB51" s="174"/>
    </row>
    <row r="52" spans="1:54" x14ac:dyDescent="0.35">
      <c r="A52" s="110">
        <v>4</v>
      </c>
      <c r="B52" s="42" t="str" cm="1">
        <f t="array" ref="B52">IF(COUNTA(INDEX(Buildings, A52))&gt;0,INDEX(Buildings, A52),"")</f>
        <v>SF2012_4F</v>
      </c>
      <c r="C52" s="161">
        <f>K5</f>
        <v>1</v>
      </c>
      <c r="D52" s="168" t="b">
        <v>1</v>
      </c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74"/>
      <c r="AC52" s="161">
        <f>AK5</f>
        <v>0</v>
      </c>
      <c r="AD52" s="168" t="b">
        <v>0</v>
      </c>
      <c r="AE52" s="165"/>
      <c r="AF52" s="165"/>
      <c r="AG52" s="165"/>
      <c r="AH52" s="165"/>
      <c r="AI52" s="165"/>
      <c r="AJ52" s="165"/>
      <c r="AK52" s="165"/>
      <c r="AL52" s="165"/>
      <c r="AM52" s="165"/>
      <c r="AN52" s="165"/>
      <c r="AO52" s="165"/>
      <c r="AP52" s="165"/>
      <c r="AQ52" s="165"/>
      <c r="AR52" s="165"/>
      <c r="AS52" s="165"/>
      <c r="AT52" s="165"/>
      <c r="AU52" s="165"/>
      <c r="AV52" s="165"/>
      <c r="AW52" s="165"/>
      <c r="AX52" s="165"/>
      <c r="AY52" s="165"/>
      <c r="AZ52" s="165"/>
      <c r="BA52" s="165"/>
      <c r="BB52" s="174"/>
    </row>
    <row r="53" spans="1:54" x14ac:dyDescent="0.35">
      <c r="A53" s="110">
        <v>5</v>
      </c>
      <c r="B53" s="42" t="str" cm="1">
        <f t="array" ref="B53">IF(COUNTA(INDEX(Buildings, A53))&gt;0,INDEX(Buildings, A53),"")</f>
        <v/>
      </c>
      <c r="C53" s="161">
        <f>M5</f>
        <v>0</v>
      </c>
      <c r="D53" s="168" t="b">
        <v>0</v>
      </c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74"/>
      <c r="AC53" s="161">
        <f>AM5</f>
        <v>0</v>
      </c>
      <c r="AD53" s="168" t="b">
        <v>0</v>
      </c>
      <c r="AE53" s="165"/>
      <c r="AF53" s="165"/>
      <c r="AG53" s="165"/>
      <c r="AH53" s="165"/>
      <c r="AI53" s="165"/>
      <c r="AJ53" s="165"/>
      <c r="AK53" s="165"/>
      <c r="AL53" s="165"/>
      <c r="AM53" s="165"/>
      <c r="AN53" s="165"/>
      <c r="AO53" s="165"/>
      <c r="AP53" s="165"/>
      <c r="AQ53" s="165"/>
      <c r="AR53" s="165"/>
      <c r="AS53" s="165"/>
      <c r="AT53" s="165"/>
      <c r="AU53" s="165"/>
      <c r="AV53" s="165"/>
      <c r="AW53" s="165"/>
      <c r="AX53" s="165"/>
      <c r="AY53" s="165"/>
      <c r="AZ53" s="165"/>
      <c r="BA53" s="165"/>
      <c r="BB53" s="174"/>
    </row>
    <row r="54" spans="1:54" x14ac:dyDescent="0.35">
      <c r="A54" s="110">
        <v>6</v>
      </c>
      <c r="B54" s="42" t="str" cm="1">
        <f t="array" ref="B54">IF(COUNTA(INDEX(Buildings, A54))&gt;0,INDEX(Buildings, A54),"")</f>
        <v/>
      </c>
      <c r="C54" s="161" t="str">
        <f>O4</f>
        <v/>
      </c>
      <c r="D54" s="168" t="b">
        <v>0</v>
      </c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74"/>
      <c r="AC54" s="161" t="str">
        <f>AO4</f>
        <v/>
      </c>
      <c r="AD54" s="168" t="b">
        <v>0</v>
      </c>
      <c r="AE54" s="165"/>
      <c r="AF54" s="165"/>
      <c r="AG54" s="165"/>
      <c r="AH54" s="165"/>
      <c r="AI54" s="165"/>
      <c r="AJ54" s="165"/>
      <c r="AK54" s="165"/>
      <c r="AL54" s="165"/>
      <c r="AM54" s="165"/>
      <c r="AN54" s="165"/>
      <c r="AO54" s="165"/>
      <c r="AP54" s="165"/>
      <c r="AQ54" s="165"/>
      <c r="AR54" s="165"/>
      <c r="AS54" s="165"/>
      <c r="AT54" s="165"/>
      <c r="AU54" s="165"/>
      <c r="AV54" s="165"/>
      <c r="AW54" s="165"/>
      <c r="AX54" s="165"/>
      <c r="AY54" s="165"/>
      <c r="AZ54" s="165"/>
      <c r="BA54" s="165"/>
      <c r="BB54" s="174"/>
    </row>
    <row r="55" spans="1:54" x14ac:dyDescent="0.35">
      <c r="A55" s="110">
        <v>7</v>
      </c>
      <c r="B55" s="42" t="str" cm="1">
        <f t="array" ref="B55">IF(COUNTA(INDEX(Buildings, A55))&gt;0,INDEX(Buildings, A55),"")</f>
        <v/>
      </c>
      <c r="C55" s="161" t="str">
        <f>Q4</f>
        <v/>
      </c>
      <c r="D55" s="168" t="b">
        <v>0</v>
      </c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74"/>
      <c r="AC55" s="161" t="str">
        <f>AQ4</f>
        <v/>
      </c>
      <c r="AD55" s="168" t="b">
        <v>0</v>
      </c>
      <c r="AE55" s="165"/>
      <c r="AF55" s="165"/>
      <c r="AG55" s="165"/>
      <c r="AH55" s="165"/>
      <c r="AI55" s="165"/>
      <c r="AJ55" s="165"/>
      <c r="AK55" s="165"/>
      <c r="AL55" s="165"/>
      <c r="AM55" s="165"/>
      <c r="AN55" s="165"/>
      <c r="AO55" s="165"/>
      <c r="AP55" s="165"/>
      <c r="AQ55" s="165"/>
      <c r="AR55" s="165"/>
      <c r="AS55" s="165"/>
      <c r="AT55" s="165"/>
      <c r="AU55" s="165"/>
      <c r="AV55" s="165"/>
      <c r="AW55" s="165"/>
      <c r="AX55" s="165"/>
      <c r="AY55" s="165"/>
      <c r="AZ55" s="165"/>
      <c r="BA55" s="165"/>
      <c r="BB55" s="174"/>
    </row>
    <row r="56" spans="1:54" x14ac:dyDescent="0.35">
      <c r="A56" s="110">
        <v>8</v>
      </c>
      <c r="B56" s="42" t="str" cm="1">
        <f t="array" ref="B56">IF(COUNTA(INDEX(Buildings, A56))&gt;0,INDEX(Buildings, A56),"")</f>
        <v/>
      </c>
      <c r="C56" s="161" t="str">
        <f>S4</f>
        <v/>
      </c>
      <c r="D56" s="168" t="b">
        <v>0</v>
      </c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74"/>
      <c r="AC56" s="161" t="str">
        <f>AS4</f>
        <v/>
      </c>
      <c r="AD56" s="168" t="b">
        <v>0</v>
      </c>
      <c r="AE56" s="165"/>
      <c r="AF56" s="165"/>
      <c r="AG56" s="165"/>
      <c r="AH56" s="165"/>
      <c r="AI56" s="165"/>
      <c r="AJ56" s="165"/>
      <c r="AK56" s="165"/>
      <c r="AL56" s="165"/>
      <c r="AM56" s="165"/>
      <c r="AN56" s="165"/>
      <c r="AO56" s="165"/>
      <c r="AP56" s="165"/>
      <c r="AQ56" s="165"/>
      <c r="AR56" s="165"/>
      <c r="AS56" s="165"/>
      <c r="AT56" s="165"/>
      <c r="AU56" s="165"/>
      <c r="AV56" s="165"/>
      <c r="AW56" s="165"/>
      <c r="AX56" s="165"/>
      <c r="AY56" s="165"/>
      <c r="AZ56" s="165"/>
      <c r="BA56" s="165"/>
      <c r="BB56" s="174"/>
    </row>
    <row r="57" spans="1:54" x14ac:dyDescent="0.35">
      <c r="A57" s="110">
        <v>9</v>
      </c>
      <c r="B57" s="42" t="str" cm="1">
        <f t="array" ref="B57">IF(COUNTA(INDEX(Buildings, A57))&gt;0,INDEX(Buildings, A57),"")</f>
        <v/>
      </c>
      <c r="C57" s="161" t="str">
        <f>U4</f>
        <v/>
      </c>
      <c r="D57" s="168" t="b">
        <v>0</v>
      </c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74"/>
      <c r="AC57" s="161" t="str">
        <f>AU4</f>
        <v/>
      </c>
      <c r="AD57" s="168" t="b">
        <v>0</v>
      </c>
      <c r="AE57" s="165"/>
      <c r="AF57" s="165"/>
      <c r="AG57" s="165"/>
      <c r="AH57" s="165"/>
      <c r="AI57" s="165"/>
      <c r="AJ57" s="165"/>
      <c r="AK57" s="165"/>
      <c r="AL57" s="165"/>
      <c r="AM57" s="165"/>
      <c r="AN57" s="165"/>
      <c r="AO57" s="165"/>
      <c r="AP57" s="165"/>
      <c r="AQ57" s="165"/>
      <c r="AR57" s="165"/>
      <c r="AS57" s="165"/>
      <c r="AT57" s="165"/>
      <c r="AU57" s="165"/>
      <c r="AV57" s="165"/>
      <c r="AW57" s="165"/>
      <c r="AX57" s="165"/>
      <c r="AY57" s="165"/>
      <c r="AZ57" s="165"/>
      <c r="BA57" s="165"/>
      <c r="BB57" s="174"/>
    </row>
    <row r="58" spans="1:54" x14ac:dyDescent="0.35">
      <c r="A58" s="110">
        <v>10</v>
      </c>
      <c r="B58" s="42" t="str" cm="1">
        <f t="array" ref="B58">IF(COUNTA(INDEX(Buildings, A58))&gt;0,INDEX(Buildings, A58),"")</f>
        <v/>
      </c>
      <c r="C58" s="161" t="str">
        <f>W4</f>
        <v/>
      </c>
      <c r="D58" s="168" t="b">
        <v>0</v>
      </c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74"/>
      <c r="AC58" s="161" t="str">
        <f>AW4</f>
        <v/>
      </c>
      <c r="AD58" s="168" t="b">
        <v>0</v>
      </c>
      <c r="AE58" s="165"/>
      <c r="AF58" s="165"/>
      <c r="AG58" s="165"/>
      <c r="AH58" s="165"/>
      <c r="AI58" s="165"/>
      <c r="AJ58" s="165"/>
      <c r="AK58" s="165"/>
      <c r="AL58" s="165"/>
      <c r="AM58" s="165"/>
      <c r="AN58" s="165"/>
      <c r="AO58" s="165"/>
      <c r="AP58" s="165"/>
      <c r="AQ58" s="165"/>
      <c r="AR58" s="165"/>
      <c r="AS58" s="165"/>
      <c r="AT58" s="165"/>
      <c r="AU58" s="165"/>
      <c r="AV58" s="165"/>
      <c r="AW58" s="165"/>
      <c r="AX58" s="165"/>
      <c r="AY58" s="165"/>
      <c r="AZ58" s="165"/>
      <c r="BA58" s="165"/>
      <c r="BB58" s="174"/>
    </row>
    <row r="59" spans="1:54" x14ac:dyDescent="0.35">
      <c r="A59" s="110">
        <v>11</v>
      </c>
      <c r="B59" s="42" t="str" cm="1">
        <f t="array" ref="B59">IF(COUNTA(INDEX(Buildings, A59))&gt;0,INDEX(Buildings, A59),"")</f>
        <v/>
      </c>
      <c r="C59" s="161" t="str">
        <f>Y4</f>
        <v/>
      </c>
      <c r="D59" s="168" t="b">
        <v>0</v>
      </c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74"/>
      <c r="AC59" s="161" t="str">
        <f>AY4</f>
        <v/>
      </c>
      <c r="AD59" s="168" t="b">
        <v>0</v>
      </c>
      <c r="AE59" s="165"/>
      <c r="AF59" s="165"/>
      <c r="AG59" s="165"/>
      <c r="AH59" s="165"/>
      <c r="AI59" s="165"/>
      <c r="AJ59" s="165"/>
      <c r="AK59" s="165"/>
      <c r="AL59" s="165"/>
      <c r="AM59" s="165"/>
      <c r="AN59" s="165"/>
      <c r="AO59" s="165"/>
      <c r="AP59" s="165"/>
      <c r="AQ59" s="165"/>
      <c r="AR59" s="165"/>
      <c r="AS59" s="165"/>
      <c r="AT59" s="165"/>
      <c r="AU59" s="165"/>
      <c r="AV59" s="165"/>
      <c r="AW59" s="165"/>
      <c r="AX59" s="165"/>
      <c r="AY59" s="165"/>
      <c r="AZ59" s="165"/>
      <c r="BA59" s="165"/>
      <c r="BB59" s="174"/>
    </row>
    <row r="60" spans="1:54" ht="18.600000000000001" thickBot="1" x14ac:dyDescent="0.4">
      <c r="A60" s="110">
        <v>12</v>
      </c>
      <c r="B60" s="42" t="str" cm="1">
        <f t="array" ref="B60">IF(COUNTA(INDEX(Buildings, A60))&gt;0,INDEX(Buildings, A60),"")</f>
        <v/>
      </c>
      <c r="C60" s="163" t="str">
        <f>AA4</f>
        <v/>
      </c>
      <c r="D60" s="169" t="b">
        <v>0</v>
      </c>
      <c r="E60" s="166"/>
      <c r="F60" s="166"/>
      <c r="G60" s="166"/>
      <c r="H60" s="166"/>
      <c r="I60" s="166"/>
      <c r="J60" s="166"/>
      <c r="K60" s="166"/>
      <c r="L60" s="166"/>
      <c r="M60" s="166"/>
      <c r="N60" s="166"/>
      <c r="O60" s="166"/>
      <c r="P60" s="166"/>
      <c r="Q60" s="166"/>
      <c r="R60" s="166"/>
      <c r="S60" s="166"/>
      <c r="T60" s="166"/>
      <c r="U60" s="166"/>
      <c r="V60" s="166"/>
      <c r="W60" s="166"/>
      <c r="X60" s="166"/>
      <c r="Y60" s="166"/>
      <c r="Z60" s="166"/>
      <c r="AA60" s="166"/>
      <c r="AB60" s="175"/>
      <c r="AC60" s="163" t="str">
        <f>BA4</f>
        <v/>
      </c>
      <c r="AD60" s="169" t="b">
        <v>0</v>
      </c>
      <c r="AE60" s="166"/>
      <c r="AF60" s="166"/>
      <c r="AG60" s="166"/>
      <c r="AH60" s="166"/>
      <c r="AI60" s="166"/>
      <c r="AJ60" s="166"/>
      <c r="AK60" s="166"/>
      <c r="AL60" s="166"/>
      <c r="AM60" s="166"/>
      <c r="AN60" s="166"/>
      <c r="AO60" s="166"/>
      <c r="AP60" s="166"/>
      <c r="AQ60" s="166"/>
      <c r="AR60" s="166"/>
      <c r="AS60" s="166"/>
      <c r="AT60" s="166"/>
      <c r="AU60" s="166"/>
      <c r="AV60" s="166"/>
      <c r="AW60" s="166"/>
      <c r="AX60" s="166"/>
      <c r="AY60" s="166"/>
      <c r="AZ60" s="166"/>
      <c r="BA60" s="166"/>
      <c r="BB60" s="175"/>
    </row>
    <row r="61" spans="1:54" s="48" customFormat="1" ht="36" customHeight="1" thickBot="1" x14ac:dyDescent="0.4">
      <c r="A61" s="62"/>
      <c r="B61" s="136" t="s">
        <v>175</v>
      </c>
      <c r="C61" s="193"/>
      <c r="D61" s="194"/>
      <c r="E61" s="194"/>
      <c r="F61" s="194"/>
      <c r="G61" s="194"/>
      <c r="H61" s="194"/>
      <c r="I61" s="194"/>
      <c r="J61" s="194"/>
      <c r="K61" s="194"/>
      <c r="L61" s="194"/>
      <c r="M61" s="194"/>
      <c r="N61" s="194"/>
      <c r="O61" s="194"/>
      <c r="P61" s="194"/>
      <c r="Q61" s="194"/>
      <c r="R61" s="194"/>
      <c r="S61" s="194"/>
      <c r="T61" s="194"/>
      <c r="U61" s="194"/>
      <c r="V61" s="194"/>
      <c r="W61" s="194"/>
      <c r="X61" s="194"/>
      <c r="Y61" s="194"/>
      <c r="Z61" s="194"/>
      <c r="AA61" s="194"/>
      <c r="AB61" s="195"/>
      <c r="AC61" s="193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5"/>
    </row>
    <row r="62" spans="1:54" s="52" customFormat="1" x14ac:dyDescent="0.35">
      <c r="A62" s="114">
        <v>1</v>
      </c>
      <c r="B62" s="50" t="str" cm="1">
        <f t="array" ref="B62">IF(COUNTA(INDEX(Commodities_named, A62))&gt;0,INDEX(Commodities_named, A62),"")</f>
        <v>Electricity</v>
      </c>
      <c r="C62" s="172" t="b">
        <v>1</v>
      </c>
      <c r="D62" s="164"/>
      <c r="E62" s="164"/>
      <c r="F62" s="164"/>
      <c r="G62" s="164"/>
      <c r="H62" s="164"/>
      <c r="I62" s="164"/>
      <c r="J62" s="164"/>
      <c r="K62" s="164"/>
      <c r="L62" s="164"/>
      <c r="M62" s="164"/>
      <c r="N62" s="164"/>
      <c r="O62" s="164"/>
      <c r="P62" s="164"/>
      <c r="Q62" s="164"/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73"/>
      <c r="AC62" s="172" t="b">
        <v>1</v>
      </c>
      <c r="AD62" s="164"/>
      <c r="AE62" s="164"/>
      <c r="AF62" s="164"/>
      <c r="AG62" s="164"/>
      <c r="AH62" s="164"/>
      <c r="AI62" s="164"/>
      <c r="AJ62" s="164"/>
      <c r="AK62" s="164"/>
      <c r="AL62" s="164"/>
      <c r="AM62" s="164"/>
      <c r="AN62" s="164"/>
      <c r="AO62" s="164"/>
      <c r="AP62" s="164"/>
      <c r="AQ62" s="164"/>
      <c r="AR62" s="164"/>
      <c r="AS62" s="164"/>
      <c r="AT62" s="164"/>
      <c r="AU62" s="164"/>
      <c r="AV62" s="164"/>
      <c r="AW62" s="164"/>
      <c r="AX62" s="164"/>
      <c r="AY62" s="164"/>
      <c r="AZ62" s="164"/>
      <c r="BA62" s="164"/>
      <c r="BB62" s="173"/>
    </row>
    <row r="63" spans="1:54" x14ac:dyDescent="0.35">
      <c r="A63" s="115">
        <v>2</v>
      </c>
      <c r="B63" s="42" t="str" cm="1">
        <f t="array" ref="B63">IF(COUNTA(INDEX(Commodities_named, A63))&gt;0,INDEX(Commodities_named, A63),"")</f>
        <v>Heat</v>
      </c>
      <c r="C63" s="170" t="b">
        <v>1</v>
      </c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74"/>
      <c r="AC63" s="170" t="b">
        <v>1</v>
      </c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  <c r="AN63" s="165"/>
      <c r="AO63" s="165"/>
      <c r="AP63" s="165"/>
      <c r="AQ63" s="165"/>
      <c r="AR63" s="165"/>
      <c r="AS63" s="165"/>
      <c r="AT63" s="165"/>
      <c r="AU63" s="165"/>
      <c r="AV63" s="165"/>
      <c r="AW63" s="165"/>
      <c r="AX63" s="165"/>
      <c r="AY63" s="165"/>
      <c r="AZ63" s="165"/>
      <c r="BA63" s="165"/>
      <c r="BB63" s="174"/>
    </row>
    <row r="64" spans="1:54" x14ac:dyDescent="0.35">
      <c r="A64" s="115">
        <v>3</v>
      </c>
      <c r="B64" s="42" t="str" cm="1">
        <f t="array" ref="B64">IF(COUNTA(INDEX(Commodities_named, A64))&gt;0,INDEX(Commodities_named, A64),"")</f>
        <v>Gas</v>
      </c>
      <c r="C64" s="170" t="b">
        <v>1</v>
      </c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74"/>
      <c r="AC64" s="170" t="b">
        <v>1</v>
      </c>
      <c r="AD64" s="165"/>
      <c r="AE64" s="165"/>
      <c r="AF64" s="165"/>
      <c r="AG64" s="165"/>
      <c r="AH64" s="165"/>
      <c r="AI64" s="165"/>
      <c r="AJ64" s="165"/>
      <c r="AK64" s="165"/>
      <c r="AL64" s="165"/>
      <c r="AM64" s="165"/>
      <c r="AN64" s="165"/>
      <c r="AO64" s="165"/>
      <c r="AP64" s="165"/>
      <c r="AQ64" s="165"/>
      <c r="AR64" s="165"/>
      <c r="AS64" s="165"/>
      <c r="AT64" s="165"/>
      <c r="AU64" s="165"/>
      <c r="AV64" s="165"/>
      <c r="AW64" s="165"/>
      <c r="AX64" s="165"/>
      <c r="AY64" s="165"/>
      <c r="AZ64" s="165"/>
      <c r="BA64" s="165"/>
      <c r="BB64" s="174"/>
    </row>
    <row r="65" spans="1:54" x14ac:dyDescent="0.35">
      <c r="A65" s="115">
        <v>4</v>
      </c>
      <c r="B65" s="42" t="str" cm="1">
        <f t="array" ref="B65">IF(COUNTA(INDEX(Commodities_named, A65))&gt;0,INDEX(Commodities_named, A65),"")</f>
        <v>Hydrogen</v>
      </c>
      <c r="C65" s="170" t="b">
        <v>0</v>
      </c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74"/>
      <c r="AC65" s="170" t="b">
        <v>0</v>
      </c>
      <c r="AD65" s="165"/>
      <c r="AE65" s="165"/>
      <c r="AF65" s="165"/>
      <c r="AG65" s="165"/>
      <c r="AH65" s="165"/>
      <c r="AI65" s="165"/>
      <c r="AJ65" s="165"/>
      <c r="AK65" s="165"/>
      <c r="AL65" s="165"/>
      <c r="AM65" s="165"/>
      <c r="AN65" s="165"/>
      <c r="AO65" s="165"/>
      <c r="AP65" s="165"/>
      <c r="AQ65" s="165"/>
      <c r="AR65" s="165"/>
      <c r="AS65" s="165"/>
      <c r="AT65" s="165"/>
      <c r="AU65" s="165"/>
      <c r="AV65" s="165"/>
      <c r="AW65" s="165"/>
      <c r="AX65" s="165"/>
      <c r="AY65" s="165"/>
      <c r="AZ65" s="165"/>
      <c r="BA65" s="165"/>
      <c r="BB65" s="174"/>
    </row>
    <row r="66" spans="1:54" x14ac:dyDescent="0.35">
      <c r="A66" s="115">
        <v>5</v>
      </c>
      <c r="B66" s="42" t="str" cm="1">
        <f t="array" ref="B66">IF(COUNTA(INDEX(Commodities_named, A66))&gt;0,INDEX(Commodities_named, A66),"")</f>
        <v>Wood</v>
      </c>
      <c r="C66" s="170" t="b">
        <v>0</v>
      </c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74"/>
      <c r="AC66" s="170" t="b">
        <v>1</v>
      </c>
      <c r="AD66" s="165"/>
      <c r="AE66" s="165"/>
      <c r="AF66" s="165"/>
      <c r="AG66" s="165"/>
      <c r="AH66" s="165"/>
      <c r="AI66" s="165"/>
      <c r="AJ66" s="165"/>
      <c r="AK66" s="165"/>
      <c r="AL66" s="165"/>
      <c r="AM66" s="165"/>
      <c r="AN66" s="165"/>
      <c r="AO66" s="165"/>
      <c r="AP66" s="165"/>
      <c r="AQ66" s="165"/>
      <c r="AR66" s="165"/>
      <c r="AS66" s="165"/>
      <c r="AT66" s="165"/>
      <c r="AU66" s="165"/>
      <c r="AV66" s="165"/>
      <c r="AW66" s="165"/>
      <c r="AX66" s="165"/>
      <c r="AY66" s="165"/>
      <c r="AZ66" s="165"/>
      <c r="BA66" s="165"/>
      <c r="BB66" s="174"/>
    </row>
    <row r="67" spans="1:54" x14ac:dyDescent="0.35">
      <c r="A67" s="115">
        <v>6</v>
      </c>
      <c r="B67" s="42" t="str" cm="1">
        <f t="array" ref="B67">IF(COUNTA(INDEX(Commodities_named, A67))&gt;0,INDEX(Commodities_named, A67),"")</f>
        <v/>
      </c>
      <c r="C67" s="170" t="b">
        <v>0</v>
      </c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74"/>
      <c r="AC67" s="170" t="b">
        <v>0</v>
      </c>
      <c r="AD67" s="165"/>
      <c r="AE67" s="165"/>
      <c r="AF67" s="165"/>
      <c r="AG67" s="165"/>
      <c r="AH67" s="165"/>
      <c r="AI67" s="165"/>
      <c r="AJ67" s="165"/>
      <c r="AK67" s="165"/>
      <c r="AL67" s="165"/>
      <c r="AM67" s="165"/>
      <c r="AN67" s="165"/>
      <c r="AO67" s="165"/>
      <c r="AP67" s="165"/>
      <c r="AQ67" s="165"/>
      <c r="AR67" s="165"/>
      <c r="AS67" s="165"/>
      <c r="AT67" s="165"/>
      <c r="AU67" s="165"/>
      <c r="AV67" s="165"/>
      <c r="AW67" s="165"/>
      <c r="AX67" s="165"/>
      <c r="AY67" s="165"/>
      <c r="AZ67" s="165"/>
      <c r="BA67" s="165"/>
      <c r="BB67" s="174"/>
    </row>
    <row r="68" spans="1:54" x14ac:dyDescent="0.35">
      <c r="A68" s="115">
        <v>7</v>
      </c>
      <c r="B68" s="42" t="str" cm="1">
        <f t="array" ref="B68">IF(COUNTA(INDEX(Commodities_named, A68))&gt;0,INDEX(Commodities_named, A68),"")</f>
        <v/>
      </c>
      <c r="C68" s="170" t="b">
        <v>0</v>
      </c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74"/>
      <c r="AC68" s="170" t="b">
        <v>0</v>
      </c>
      <c r="AD68" s="165"/>
      <c r="AE68" s="165"/>
      <c r="AF68" s="165"/>
      <c r="AG68" s="165"/>
      <c r="AH68" s="165"/>
      <c r="AI68" s="165"/>
      <c r="AJ68" s="165"/>
      <c r="AK68" s="165"/>
      <c r="AL68" s="165"/>
      <c r="AM68" s="165"/>
      <c r="AN68" s="165"/>
      <c r="AO68" s="165"/>
      <c r="AP68" s="165"/>
      <c r="AQ68" s="165"/>
      <c r="AR68" s="165"/>
      <c r="AS68" s="165"/>
      <c r="AT68" s="165"/>
      <c r="AU68" s="165"/>
      <c r="AV68" s="165"/>
      <c r="AW68" s="165"/>
      <c r="AX68" s="165"/>
      <c r="AY68" s="165"/>
      <c r="AZ68" s="165"/>
      <c r="BA68" s="165"/>
      <c r="BB68" s="174"/>
    </row>
    <row r="69" spans="1:54" x14ac:dyDescent="0.35">
      <c r="A69" s="115">
        <v>8</v>
      </c>
      <c r="B69" s="42" t="str" cm="1">
        <f t="array" ref="B69">IF(COUNTA(INDEX(Commodities_named, A69))&gt;0,INDEX(Commodities_named, A69),"")</f>
        <v/>
      </c>
      <c r="C69" s="170" t="b">
        <v>0</v>
      </c>
      <c r="D69" s="165"/>
      <c r="E69" s="165"/>
      <c r="F69" s="165"/>
      <c r="G69" s="165"/>
      <c r="H69" s="165"/>
      <c r="I69" s="165"/>
      <c r="J69" s="165"/>
      <c r="K69" s="165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5"/>
      <c r="W69" s="165"/>
      <c r="X69" s="165"/>
      <c r="Y69" s="165"/>
      <c r="Z69" s="165"/>
      <c r="AA69" s="165"/>
      <c r="AB69" s="174"/>
      <c r="AC69" s="170" t="b">
        <v>0</v>
      </c>
      <c r="AD69" s="165"/>
      <c r="AE69" s="165"/>
      <c r="AF69" s="165"/>
      <c r="AG69" s="165"/>
      <c r="AH69" s="165"/>
      <c r="AI69" s="165"/>
      <c r="AJ69" s="165"/>
      <c r="AK69" s="165"/>
      <c r="AL69" s="165"/>
      <c r="AM69" s="165"/>
      <c r="AN69" s="165"/>
      <c r="AO69" s="165"/>
      <c r="AP69" s="165"/>
      <c r="AQ69" s="165"/>
      <c r="AR69" s="165"/>
      <c r="AS69" s="165"/>
      <c r="AT69" s="165"/>
      <c r="AU69" s="165"/>
      <c r="AV69" s="165"/>
      <c r="AW69" s="165"/>
      <c r="AX69" s="165"/>
      <c r="AY69" s="165"/>
      <c r="AZ69" s="165"/>
      <c r="BA69" s="165"/>
      <c r="BB69" s="174"/>
    </row>
    <row r="70" spans="1:54" x14ac:dyDescent="0.35">
      <c r="A70" s="115">
        <v>9</v>
      </c>
      <c r="B70" s="42" t="str" cm="1">
        <f t="array" ref="B70">IF(COUNTA(INDEX(Commodities_named, A70))&gt;0,INDEX(Commodities_named, A70),"")</f>
        <v/>
      </c>
      <c r="C70" s="170" t="b">
        <v>0</v>
      </c>
      <c r="D70" s="165"/>
      <c r="E70" s="165"/>
      <c r="F70" s="165"/>
      <c r="G70" s="165"/>
      <c r="H70" s="165"/>
      <c r="I70" s="165"/>
      <c r="J70" s="165"/>
      <c r="K70" s="165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5"/>
      <c r="W70" s="165"/>
      <c r="X70" s="165"/>
      <c r="Y70" s="165"/>
      <c r="Z70" s="165"/>
      <c r="AA70" s="165"/>
      <c r="AB70" s="174"/>
      <c r="AC70" s="170" t="b">
        <v>0</v>
      </c>
      <c r="AD70" s="165"/>
      <c r="AE70" s="165"/>
      <c r="AF70" s="165"/>
      <c r="AG70" s="165"/>
      <c r="AH70" s="165"/>
      <c r="AI70" s="165"/>
      <c r="AJ70" s="165"/>
      <c r="AK70" s="165"/>
      <c r="AL70" s="165"/>
      <c r="AM70" s="165"/>
      <c r="AN70" s="165"/>
      <c r="AO70" s="165"/>
      <c r="AP70" s="165"/>
      <c r="AQ70" s="165"/>
      <c r="AR70" s="165"/>
      <c r="AS70" s="165"/>
      <c r="AT70" s="165"/>
      <c r="AU70" s="165"/>
      <c r="AV70" s="165"/>
      <c r="AW70" s="165"/>
      <c r="AX70" s="165"/>
      <c r="AY70" s="165"/>
      <c r="AZ70" s="165"/>
      <c r="BA70" s="165"/>
      <c r="BB70" s="174"/>
    </row>
    <row r="71" spans="1:54" x14ac:dyDescent="0.35">
      <c r="A71" s="115">
        <v>10</v>
      </c>
      <c r="B71" s="42" t="str" cm="1">
        <f t="array" ref="B71">IF(COUNTA(INDEX(Commodities_named, A71))&gt;0,INDEX(Commodities_named, A71),"")</f>
        <v/>
      </c>
      <c r="C71" s="170" t="b">
        <v>0</v>
      </c>
      <c r="D71" s="165"/>
      <c r="E71" s="165"/>
      <c r="F71" s="165"/>
      <c r="G71" s="165"/>
      <c r="H71" s="165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74"/>
      <c r="AC71" s="170" t="b">
        <v>0</v>
      </c>
      <c r="AD71" s="165"/>
      <c r="AE71" s="165"/>
      <c r="AF71" s="165"/>
      <c r="AG71" s="165"/>
      <c r="AH71" s="165"/>
      <c r="AI71" s="165"/>
      <c r="AJ71" s="165"/>
      <c r="AK71" s="165"/>
      <c r="AL71" s="165"/>
      <c r="AM71" s="165"/>
      <c r="AN71" s="165"/>
      <c r="AO71" s="165"/>
      <c r="AP71" s="165"/>
      <c r="AQ71" s="165"/>
      <c r="AR71" s="165"/>
      <c r="AS71" s="165"/>
      <c r="AT71" s="165"/>
      <c r="AU71" s="165"/>
      <c r="AV71" s="165"/>
      <c r="AW71" s="165"/>
      <c r="AX71" s="165"/>
      <c r="AY71" s="165"/>
      <c r="AZ71" s="165"/>
      <c r="BA71" s="165"/>
      <c r="BB71" s="174"/>
    </row>
    <row r="72" spans="1:54" x14ac:dyDescent="0.35">
      <c r="A72" s="115">
        <v>11</v>
      </c>
      <c r="B72" s="42" t="str" cm="1">
        <f t="array" ref="B72">IF(COUNTA(INDEX(Commodities_named, A72))&gt;0,INDEX(Commodities_named, A72),"")</f>
        <v/>
      </c>
      <c r="C72" s="170" t="b">
        <v>0</v>
      </c>
      <c r="D72" s="165"/>
      <c r="E72" s="165"/>
      <c r="F72" s="165"/>
      <c r="G72" s="165"/>
      <c r="H72" s="165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74"/>
      <c r="AC72" s="170" t="b">
        <v>0</v>
      </c>
      <c r="AD72" s="165"/>
      <c r="AE72" s="165"/>
      <c r="AF72" s="165"/>
      <c r="AG72" s="165"/>
      <c r="AH72" s="165"/>
      <c r="AI72" s="165"/>
      <c r="AJ72" s="165"/>
      <c r="AK72" s="165"/>
      <c r="AL72" s="165"/>
      <c r="AM72" s="165"/>
      <c r="AN72" s="165"/>
      <c r="AO72" s="165"/>
      <c r="AP72" s="165"/>
      <c r="AQ72" s="165"/>
      <c r="AR72" s="165"/>
      <c r="AS72" s="165"/>
      <c r="AT72" s="165"/>
      <c r="AU72" s="165"/>
      <c r="AV72" s="165"/>
      <c r="AW72" s="165"/>
      <c r="AX72" s="165"/>
      <c r="AY72" s="165"/>
      <c r="AZ72" s="165"/>
      <c r="BA72" s="165"/>
      <c r="BB72" s="174"/>
    </row>
    <row r="73" spans="1:54" s="55" customFormat="1" ht="18.600000000000001" thickBot="1" x14ac:dyDescent="0.4">
      <c r="A73" s="116">
        <v>12</v>
      </c>
      <c r="B73" s="53" t="str" cm="1">
        <f t="array" ref="B73">IF(COUNTA(INDEX(Commodities_named, A73))&gt;0,INDEX(Commodities_named, A73),"")</f>
        <v/>
      </c>
      <c r="C73" s="171" t="b">
        <v>0</v>
      </c>
      <c r="D73" s="166"/>
      <c r="E73" s="166"/>
      <c r="F73" s="166"/>
      <c r="G73" s="166"/>
      <c r="H73" s="166"/>
      <c r="I73" s="166"/>
      <c r="J73" s="166"/>
      <c r="K73" s="166"/>
      <c r="L73" s="166"/>
      <c r="M73" s="166"/>
      <c r="N73" s="166"/>
      <c r="O73" s="166"/>
      <c r="P73" s="166"/>
      <c r="Q73" s="166"/>
      <c r="R73" s="166"/>
      <c r="S73" s="166"/>
      <c r="T73" s="166"/>
      <c r="U73" s="166"/>
      <c r="V73" s="166"/>
      <c r="W73" s="166"/>
      <c r="X73" s="166"/>
      <c r="Y73" s="166"/>
      <c r="Z73" s="166"/>
      <c r="AA73" s="166"/>
      <c r="AB73" s="175"/>
      <c r="AC73" s="171" t="b">
        <v>0</v>
      </c>
      <c r="AD73" s="166"/>
      <c r="AE73" s="166"/>
      <c r="AF73" s="166"/>
      <c r="AG73" s="166"/>
      <c r="AH73" s="166"/>
      <c r="AI73" s="166"/>
      <c r="AJ73" s="166"/>
      <c r="AK73" s="166"/>
      <c r="AL73" s="166"/>
      <c r="AM73" s="166"/>
      <c r="AN73" s="166"/>
      <c r="AO73" s="166"/>
      <c r="AP73" s="166"/>
      <c r="AQ73" s="166"/>
      <c r="AR73" s="166"/>
      <c r="AS73" s="166"/>
      <c r="AT73" s="166"/>
      <c r="AU73" s="166"/>
      <c r="AV73" s="166"/>
      <c r="AW73" s="166"/>
      <c r="AX73" s="166"/>
      <c r="AY73" s="166"/>
      <c r="AZ73" s="166"/>
      <c r="BA73" s="166"/>
      <c r="BB73" s="175"/>
    </row>
  </sheetData>
  <mergeCells count="82">
    <mergeCell ref="BA4:BB4"/>
    <mergeCell ref="AE5:AF5"/>
    <mergeCell ref="AG5:AH5"/>
    <mergeCell ref="AI5:AJ5"/>
    <mergeCell ref="AK5:AL5"/>
    <mergeCell ref="AM5:AN5"/>
    <mergeCell ref="AO5:AP5"/>
    <mergeCell ref="AQ5:AR5"/>
    <mergeCell ref="AS5:AT5"/>
    <mergeCell ref="AU5:AV5"/>
    <mergeCell ref="AW5:AX5"/>
    <mergeCell ref="AY5:AZ5"/>
    <mergeCell ref="BA5:BB5"/>
    <mergeCell ref="AQ4:AR4"/>
    <mergeCell ref="AS4:AT4"/>
    <mergeCell ref="AU4:AV4"/>
    <mergeCell ref="AW4:AX4"/>
    <mergeCell ref="AY4:AZ4"/>
    <mergeCell ref="AG4:AH4"/>
    <mergeCell ref="AI4:AJ4"/>
    <mergeCell ref="AK4:AL4"/>
    <mergeCell ref="AM4:AN4"/>
    <mergeCell ref="AO4:AP4"/>
    <mergeCell ref="Q5:R5"/>
    <mergeCell ref="S5:T5"/>
    <mergeCell ref="AC1:BB1"/>
    <mergeCell ref="AC2:BB2"/>
    <mergeCell ref="AG3:AH3"/>
    <mergeCell ref="AI3:AJ3"/>
    <mergeCell ref="AK3:AL3"/>
    <mergeCell ref="AM3:AN3"/>
    <mergeCell ref="AO3:AP3"/>
    <mergeCell ref="AQ3:AR3"/>
    <mergeCell ref="AS3:AT3"/>
    <mergeCell ref="AU3:AV3"/>
    <mergeCell ref="AW3:AX3"/>
    <mergeCell ref="AY3:AZ3"/>
    <mergeCell ref="BA3:BB3"/>
    <mergeCell ref="AC4:AD5"/>
    <mergeCell ref="G5:H5"/>
    <mergeCell ref="I5:J5"/>
    <mergeCell ref="K5:L5"/>
    <mergeCell ref="M5:N5"/>
    <mergeCell ref="O5:P5"/>
    <mergeCell ref="S4:T4"/>
    <mergeCell ref="G3:H3"/>
    <mergeCell ref="I3:J3"/>
    <mergeCell ref="K3:L3"/>
    <mergeCell ref="M3:N3"/>
    <mergeCell ref="O3:P3"/>
    <mergeCell ref="AC61:BB61"/>
    <mergeCell ref="C61:AB61"/>
    <mergeCell ref="C4:D5"/>
    <mergeCell ref="E4:F4"/>
    <mergeCell ref="E5:F5"/>
    <mergeCell ref="U5:V5"/>
    <mergeCell ref="W5:X5"/>
    <mergeCell ref="Y5:Z5"/>
    <mergeCell ref="AA5:AB5"/>
    <mergeCell ref="C48:AB48"/>
    <mergeCell ref="AC48:BB48"/>
    <mergeCell ref="W4:X4"/>
    <mergeCell ref="Y4:Z4"/>
    <mergeCell ref="AA4:AB4"/>
    <mergeCell ref="G4:H4"/>
    <mergeCell ref="I4:J4"/>
    <mergeCell ref="E3:F3"/>
    <mergeCell ref="AE3:AF3"/>
    <mergeCell ref="AE4:AF4"/>
    <mergeCell ref="C2:AB2"/>
    <mergeCell ref="C1:AB1"/>
    <mergeCell ref="U3:V3"/>
    <mergeCell ref="U4:V4"/>
    <mergeCell ref="W3:X3"/>
    <mergeCell ref="Y3:Z3"/>
    <mergeCell ref="AA3:AB3"/>
    <mergeCell ref="Q3:R3"/>
    <mergeCell ref="S3:T3"/>
    <mergeCell ref="K4:L4"/>
    <mergeCell ref="M4:N4"/>
    <mergeCell ref="O4:P4"/>
    <mergeCell ref="Q4:R4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1944-3709-4529-8888-B52075E34AB6}">
  <sheetPr codeName="Sheet4"/>
  <dimension ref="A1:O38"/>
  <sheetViews>
    <sheetView tabSelected="1" zoomScale="85" zoomScaleNormal="85" workbookViewId="0">
      <selection activeCell="D12" sqref="D12"/>
    </sheetView>
  </sheetViews>
  <sheetFormatPr defaultRowHeight="18" x14ac:dyDescent="0.35"/>
  <cols>
    <col min="1" max="1" width="25.77734375" style="43" customWidth="1"/>
    <col min="2" max="2" width="11.33203125" style="43" bestFit="1" customWidth="1"/>
    <col min="3" max="3" width="42.109375" style="131" bestFit="1" customWidth="1"/>
    <col min="4" max="4" width="38.33203125" style="113" bestFit="1" customWidth="1"/>
    <col min="5" max="15" width="25.77734375" style="43" customWidth="1"/>
    <col min="16" max="16384" width="8.88671875" style="44"/>
  </cols>
  <sheetData>
    <row r="1" spans="1:15" s="48" customFormat="1" ht="24" thickBot="1" x14ac:dyDescent="0.4">
      <c r="A1" s="129" t="s">
        <v>112</v>
      </c>
      <c r="B1" s="105"/>
      <c r="C1" s="130"/>
      <c r="D1" s="112">
        <v>1</v>
      </c>
      <c r="E1" s="47">
        <v>2</v>
      </c>
      <c r="F1" s="47">
        <v>3</v>
      </c>
      <c r="G1" s="47">
        <v>4</v>
      </c>
      <c r="H1" s="47">
        <v>5</v>
      </c>
      <c r="I1" s="47">
        <v>6</v>
      </c>
      <c r="J1" s="47">
        <v>7</v>
      </c>
      <c r="K1" s="47">
        <v>8</v>
      </c>
      <c r="L1" s="47">
        <v>9</v>
      </c>
      <c r="M1" s="47">
        <v>10</v>
      </c>
      <c r="N1" s="47">
        <v>11</v>
      </c>
      <c r="O1" s="47">
        <v>12</v>
      </c>
    </row>
    <row r="2" spans="1:15" x14ac:dyDescent="0.35">
      <c r="A2" s="76" t="s">
        <v>5</v>
      </c>
      <c r="B2" s="76"/>
      <c r="D2" s="113" t="s">
        <v>37</v>
      </c>
      <c r="E2" s="43" t="s">
        <v>39</v>
      </c>
      <c r="F2" s="43" t="s">
        <v>38</v>
      </c>
      <c r="G2" s="43" t="s">
        <v>42</v>
      </c>
      <c r="H2" s="43" t="s">
        <v>43</v>
      </c>
    </row>
    <row r="3" spans="1:15" x14ac:dyDescent="0.35">
      <c r="A3" s="43" t="s">
        <v>41</v>
      </c>
      <c r="D3" s="121" t="b">
        <v>1</v>
      </c>
      <c r="E3" s="106" t="b">
        <v>0</v>
      </c>
      <c r="F3" s="106" t="b">
        <v>0</v>
      </c>
      <c r="G3" s="106" t="b">
        <v>0</v>
      </c>
      <c r="H3" s="106" t="b">
        <v>0</v>
      </c>
      <c r="I3" s="106" t="b">
        <v>0</v>
      </c>
      <c r="J3" s="106" t="b">
        <v>0</v>
      </c>
      <c r="K3" s="106" t="b">
        <v>0</v>
      </c>
      <c r="L3" s="106" t="b">
        <v>0</v>
      </c>
      <c r="M3" s="106" t="b">
        <v>0</v>
      </c>
      <c r="N3" s="106" t="b">
        <v>0</v>
      </c>
      <c r="O3" s="106" t="b">
        <v>0</v>
      </c>
    </row>
    <row r="4" spans="1:15" x14ac:dyDescent="0.35">
      <c r="A4" s="43" t="s">
        <v>152</v>
      </c>
      <c r="D4" s="122" t="s">
        <v>230</v>
      </c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</row>
    <row r="5" spans="1:15" x14ac:dyDescent="0.35">
      <c r="A5" s="43" t="s">
        <v>40</v>
      </c>
      <c r="D5" s="121" t="b">
        <v>1</v>
      </c>
      <c r="E5" s="106" t="b">
        <v>0</v>
      </c>
      <c r="F5" s="106" t="b">
        <v>1</v>
      </c>
      <c r="G5" s="106" t="b">
        <v>0</v>
      </c>
      <c r="H5" s="106" t="b">
        <v>1</v>
      </c>
      <c r="I5" s="106" t="b">
        <v>0</v>
      </c>
      <c r="J5" s="106" t="b">
        <v>0</v>
      </c>
      <c r="K5" s="106" t="b">
        <v>0</v>
      </c>
      <c r="L5" s="106" t="b">
        <v>0</v>
      </c>
      <c r="M5" s="106" t="b">
        <v>0</v>
      </c>
      <c r="N5" s="106" t="b">
        <v>0</v>
      </c>
      <c r="O5" s="106" t="b">
        <v>0</v>
      </c>
    </row>
    <row r="6" spans="1:15" x14ac:dyDescent="0.35">
      <c r="A6" s="43" t="s">
        <v>229</v>
      </c>
      <c r="D6" s="122" t="s">
        <v>231</v>
      </c>
      <c r="E6" s="107"/>
      <c r="F6" s="122" t="s">
        <v>228</v>
      </c>
      <c r="G6" s="107"/>
      <c r="H6" s="122" t="s">
        <v>228</v>
      </c>
      <c r="I6" s="107"/>
      <c r="J6" s="107"/>
      <c r="K6" s="107"/>
      <c r="L6" s="107"/>
      <c r="M6" s="107"/>
      <c r="N6" s="107"/>
      <c r="O6" s="107"/>
    </row>
    <row r="7" spans="1:15" x14ac:dyDescent="0.35">
      <c r="D7" s="122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</row>
    <row r="8" spans="1:15" x14ac:dyDescent="0.35">
      <c r="D8" s="122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</row>
    <row r="9" spans="1:15" ht="18.600000000000001" thickBot="1" x14ac:dyDescent="0.4">
      <c r="D9" s="122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7"/>
    </row>
    <row r="10" spans="1:15" s="40" customFormat="1" ht="24" thickBot="1" x14ac:dyDescent="0.4">
      <c r="A10" s="129" t="s">
        <v>141</v>
      </c>
      <c r="B10" s="105"/>
      <c r="C10" s="130"/>
      <c r="D10" s="123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</row>
    <row r="11" spans="1:15" x14ac:dyDescent="0.35">
      <c r="A11" s="43" t="s">
        <v>143</v>
      </c>
      <c r="D11" s="122" t="s">
        <v>255</v>
      </c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</row>
    <row r="12" spans="1:15" x14ac:dyDescent="0.35">
      <c r="A12" s="43" t="s">
        <v>142</v>
      </c>
      <c r="D12" s="122" t="s">
        <v>256</v>
      </c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</row>
    <row r="13" spans="1:15" x14ac:dyDescent="0.35">
      <c r="A13" s="43" t="s">
        <v>26</v>
      </c>
      <c r="D13" s="122" t="s">
        <v>144</v>
      </c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</row>
    <row r="14" spans="1:15" x14ac:dyDescent="0.35">
      <c r="A14" s="43" t="s">
        <v>155</v>
      </c>
      <c r="D14" s="122">
        <v>1</v>
      </c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</row>
    <row r="15" spans="1:15" ht="18.600000000000001" thickBot="1" x14ac:dyDescent="0.4">
      <c r="A15" s="43" t="s">
        <v>170</v>
      </c>
      <c r="B15" s="43" t="s">
        <v>66</v>
      </c>
      <c r="C15" s="131" t="s">
        <v>171</v>
      </c>
      <c r="D15" s="176">
        <v>1</v>
      </c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</row>
    <row r="16" spans="1:15" s="40" customFormat="1" ht="21.6" thickBot="1" x14ac:dyDescent="0.45">
      <c r="A16" s="80" t="s">
        <v>111</v>
      </c>
      <c r="B16" s="80"/>
      <c r="C16" s="132"/>
      <c r="D16" s="133" t="b">
        <v>0</v>
      </c>
      <c r="E16" s="134" t="b">
        <v>0</v>
      </c>
      <c r="F16" s="134" t="b">
        <v>0</v>
      </c>
      <c r="G16" s="134" t="b">
        <v>0</v>
      </c>
      <c r="H16" s="134" t="b">
        <v>0</v>
      </c>
      <c r="I16" s="134" t="b">
        <v>0</v>
      </c>
      <c r="J16" s="134" t="b">
        <v>0</v>
      </c>
      <c r="K16" s="134" t="b">
        <v>0</v>
      </c>
      <c r="L16" s="134" t="b">
        <v>0</v>
      </c>
      <c r="M16" s="134" t="b">
        <v>0</v>
      </c>
      <c r="N16" s="134" t="b">
        <v>0</v>
      </c>
      <c r="O16" s="134" t="b">
        <v>0</v>
      </c>
    </row>
    <row r="17" spans="1:15" s="52" customFormat="1" x14ac:dyDescent="0.35">
      <c r="A17" s="70" t="s">
        <v>156</v>
      </c>
      <c r="B17" s="78"/>
      <c r="C17" s="125" t="s">
        <v>157</v>
      </c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</row>
    <row r="18" spans="1:15" x14ac:dyDescent="0.35">
      <c r="A18" s="41" t="s">
        <v>122</v>
      </c>
      <c r="B18" s="76" t="s">
        <v>127</v>
      </c>
      <c r="C18" s="126" t="s">
        <v>158</v>
      </c>
      <c r="D18" s="44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</row>
    <row r="19" spans="1:15" x14ac:dyDescent="0.35">
      <c r="A19" s="41" t="s">
        <v>123</v>
      </c>
      <c r="B19" s="76" t="s">
        <v>12</v>
      </c>
      <c r="C19" s="126" t="s">
        <v>161</v>
      </c>
      <c r="D19" s="44"/>
      <c r="E19" s="107"/>
      <c r="F19" s="107"/>
      <c r="G19" s="107"/>
      <c r="H19" s="107"/>
      <c r="I19" s="107"/>
      <c r="J19" s="107"/>
      <c r="K19" s="107"/>
      <c r="L19" s="107"/>
      <c r="M19" s="107"/>
      <c r="N19" s="107"/>
      <c r="O19" s="107"/>
    </row>
    <row r="20" spans="1:15" x14ac:dyDescent="0.35">
      <c r="A20" s="41" t="s">
        <v>124</v>
      </c>
      <c r="B20" s="76" t="s">
        <v>12</v>
      </c>
      <c r="C20" s="126" t="s">
        <v>162</v>
      </c>
      <c r="D20" s="44"/>
      <c r="E20" s="107"/>
      <c r="F20" s="107"/>
      <c r="G20" s="107"/>
      <c r="H20" s="107"/>
      <c r="I20" s="107"/>
      <c r="J20" s="107"/>
      <c r="K20" s="107"/>
      <c r="L20" s="107"/>
      <c r="M20" s="107"/>
      <c r="N20" s="107"/>
      <c r="O20" s="107"/>
    </row>
    <row r="21" spans="1:15" x14ac:dyDescent="0.35">
      <c r="A21" s="41" t="s">
        <v>128</v>
      </c>
      <c r="B21" s="76"/>
      <c r="C21" s="126" t="s">
        <v>163</v>
      </c>
      <c r="D21" s="44"/>
      <c r="E21" s="107"/>
      <c r="F21" s="107"/>
      <c r="G21" s="107"/>
      <c r="H21" s="107"/>
      <c r="I21" s="107"/>
      <c r="J21" s="107"/>
      <c r="K21" s="107"/>
      <c r="L21" s="107"/>
      <c r="M21" s="107"/>
      <c r="N21" s="107"/>
      <c r="O21" s="107"/>
    </row>
    <row r="22" spans="1:15" x14ac:dyDescent="0.35">
      <c r="A22" s="67" t="s">
        <v>132</v>
      </c>
      <c r="B22" s="75" t="s">
        <v>139</v>
      </c>
      <c r="C22" s="127" t="s">
        <v>159</v>
      </c>
      <c r="D22" s="44"/>
    </row>
    <row r="23" spans="1:15" x14ac:dyDescent="0.35">
      <c r="A23" s="41" t="s">
        <v>133</v>
      </c>
      <c r="B23" s="76" t="s">
        <v>127</v>
      </c>
      <c r="C23" s="126" t="s">
        <v>164</v>
      </c>
      <c r="D23" s="44"/>
    </row>
    <row r="24" spans="1:15" x14ac:dyDescent="0.35">
      <c r="A24" s="41" t="s">
        <v>134</v>
      </c>
      <c r="B24" s="76" t="s">
        <v>12</v>
      </c>
      <c r="C24" s="126" t="s">
        <v>165</v>
      </c>
      <c r="D24" s="44"/>
    </row>
    <row r="25" spans="1:15" s="55" customFormat="1" ht="18.600000000000001" thickBot="1" x14ac:dyDescent="0.4">
      <c r="A25" s="120" t="s">
        <v>140</v>
      </c>
      <c r="B25" s="79" t="s">
        <v>12</v>
      </c>
      <c r="C25" s="128" t="s">
        <v>160</v>
      </c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</row>
    <row r="26" spans="1:15" s="40" customFormat="1" ht="21.6" thickBot="1" x14ac:dyDescent="0.45">
      <c r="A26" s="80" t="s">
        <v>166</v>
      </c>
      <c r="B26" s="80"/>
      <c r="C26" s="132"/>
      <c r="D26" s="124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</row>
    <row r="27" spans="1:15" x14ac:dyDescent="0.35">
      <c r="A27" s="43" t="s">
        <v>167</v>
      </c>
      <c r="B27" s="43" t="s">
        <v>64</v>
      </c>
      <c r="C27" s="131" t="s">
        <v>168</v>
      </c>
    </row>
    <row r="28" spans="1:15" ht="18.600000000000001" thickBot="1" x14ac:dyDescent="0.4">
      <c r="A28" s="43" t="s">
        <v>169</v>
      </c>
      <c r="B28" s="43" t="s">
        <v>99</v>
      </c>
      <c r="C28" s="131" t="s">
        <v>172</v>
      </c>
    </row>
    <row r="29" spans="1:15" s="40" customFormat="1" ht="21.6" thickBot="1" x14ac:dyDescent="0.45">
      <c r="A29" s="80" t="s">
        <v>173</v>
      </c>
      <c r="B29" s="80"/>
      <c r="C29" s="132"/>
      <c r="D29" s="124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</row>
    <row r="30" spans="1:15" x14ac:dyDescent="0.35">
      <c r="A30" s="43" t="s">
        <v>167</v>
      </c>
      <c r="B30" s="43" t="s">
        <v>64</v>
      </c>
      <c r="C30" s="131" t="s">
        <v>168</v>
      </c>
    </row>
    <row r="31" spans="1:15" x14ac:dyDescent="0.35">
      <c r="A31" s="43" t="s">
        <v>169</v>
      </c>
      <c r="B31" s="43" t="s">
        <v>99</v>
      </c>
      <c r="C31" s="131" t="s">
        <v>172</v>
      </c>
    </row>
    <row r="35" spans="1:3" x14ac:dyDescent="0.35">
      <c r="A35" s="200" t="s">
        <v>174</v>
      </c>
      <c r="B35" s="201"/>
      <c r="C35" s="202"/>
    </row>
    <row r="36" spans="1:3" x14ac:dyDescent="0.35">
      <c r="A36" s="203"/>
      <c r="B36" s="201"/>
      <c r="C36" s="202"/>
    </row>
    <row r="37" spans="1:3" x14ac:dyDescent="0.35">
      <c r="A37" s="203"/>
      <c r="B37" s="201"/>
      <c r="C37" s="202"/>
    </row>
    <row r="38" spans="1:3" x14ac:dyDescent="0.35">
      <c r="A38" s="203"/>
      <c r="B38" s="201"/>
      <c r="C38" s="202"/>
    </row>
  </sheetData>
  <mergeCells count="1">
    <mergeCell ref="A35:C38"/>
  </mergeCells>
  <phoneticPr fontId="10" type="noConversion"/>
  <dataValidations count="2">
    <dataValidation type="list" allowBlank="1" showInputMessage="1" showErrorMessage="1" sqref="D4:O4 D11:O12 D6:O6" xr:uid="{693B0AF7-27D0-4B6A-836D-02E5283D7B54}">
      <formula1>Districts_named</formula1>
    </dataValidation>
    <dataValidation type="list" allowBlank="1" showInputMessage="1" showErrorMessage="1" sqref="D13:O13" xr:uid="{8C803C27-1086-40A3-97DA-012C9DEBC383}">
      <formula1>"connection_type_lossless_bidirectional, connection_type_normal"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Specifications</vt:lpstr>
      <vt:lpstr>Units</vt:lpstr>
      <vt:lpstr>Building types</vt:lpstr>
      <vt:lpstr>Vectors_datalist</vt:lpstr>
      <vt:lpstr>Districts</vt:lpstr>
      <vt:lpstr>Commodities</vt:lpstr>
      <vt:lpstr>Buildings</vt:lpstr>
      <vt:lpstr>Commodities_named</vt:lpstr>
      <vt:lpstr>Districts_named</vt:lpstr>
      <vt:lpstr>Units_named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Baptistal</dc:creator>
  <cp:lastModifiedBy>Baptistal  Thomas</cp:lastModifiedBy>
  <dcterms:created xsi:type="dcterms:W3CDTF">2015-06-05T18:19:34Z</dcterms:created>
  <dcterms:modified xsi:type="dcterms:W3CDTF">2024-11-22T11:05:33Z</dcterms:modified>
</cp:coreProperties>
</file>